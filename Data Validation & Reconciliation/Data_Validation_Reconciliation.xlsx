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Validation_Checks" sheetId="3" state="visible" r:id="rId3"/>
    <sheet xmlns:r="http://schemas.openxmlformats.org/officeDocument/2006/relationships" name="Reconciliation_Summary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0" hidden="1">'Raw_Data'!$A$2:$H$122</definedName>
    <definedName name="_xlnm._FilterDatabase" localSheetId="1" hidden="1">'Cleaned_Data'!$A$2:$I$112</definedName>
    <definedName name="_xlnm._FilterDatabase" localSheetId="2" hidden="1">'Validation_Checks'!$A$2:$L$122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$#,##0.00"/>
    <numFmt numFmtId="167" formatCode="0.0%"/>
  </numFmts>
  <fonts count="4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E75B6"/>
      <sz val="9"/>
    </font>
    <font>
      <name val="Calibri"/>
      <color rgb="00000000"/>
      <sz val="9"/>
    </font>
    <font>
      <name val="Calibri"/>
      <b val="1"/>
      <color rgb="004A0E8F"/>
      <sz val="9"/>
    </font>
    <font>
      <name val="Calibri"/>
      <b val="1"/>
      <color rgb="00375623"/>
      <sz val="9"/>
    </font>
    <font>
      <name val="Calibri"/>
      <b val="1"/>
      <color rgb="007D4E00"/>
      <sz val="9"/>
    </font>
    <font>
      <name val="Calibri"/>
      <b val="1"/>
      <color rgb="007B2C2C"/>
      <sz val="9"/>
    </font>
    <font>
      <name val="Calibri"/>
      <b val="1"/>
      <color rgb="00843C0C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0000"/>
      <sz val="9"/>
    </font>
    <font>
      <name val="Calibri"/>
      <b val="1"/>
      <color rgb="00595959"/>
      <sz val="9"/>
    </font>
    <font>
      <name val="Calibri"/>
      <b val="1"/>
      <color rgb="00FFFFFF"/>
      <sz val="9"/>
    </font>
    <font>
      <name val="Calibri"/>
      <b val="1"/>
      <color rgb="002E75B6"/>
      <sz val="10"/>
    </font>
    <font>
      <name val="Calibri"/>
      <i val="1"/>
      <color rgb="000000FF"/>
      <sz val="9"/>
    </font>
    <font>
      <name val="Calibri"/>
      <color rgb="00595959"/>
      <sz val="10"/>
    </font>
    <font>
      <name val="Calibri"/>
      <color rgb="00000000"/>
      <sz val="10"/>
    </font>
    <font>
      <name val="Calibri"/>
      <color rgb="007D4E00"/>
      <sz val="10"/>
    </font>
    <font>
      <name val="Calibri"/>
      <color rgb="007B2C2C"/>
      <sz val="9"/>
    </font>
    <font>
      <name val="Calibri"/>
      <color rgb="007B2C2C"/>
      <sz val="10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color rgb="007B2C2C"/>
      <sz val="10"/>
    </font>
    <font>
      <name val="Calibri"/>
      <b val="1"/>
      <color rgb="007B2C2C"/>
      <sz val="11"/>
    </font>
    <font>
      <name val="Calibri"/>
      <b val="1"/>
      <color rgb="007D4E00"/>
      <sz val="10"/>
    </font>
    <font>
      <name val="Calibri"/>
      <b val="1"/>
      <color rgb="007D4E00"/>
      <sz val="11"/>
    </font>
    <font>
      <name val="Calibri"/>
      <b val="1"/>
      <color rgb="00375623"/>
      <sz val="10"/>
    </font>
    <font>
      <name val="Calibri"/>
      <b val="1"/>
      <color rgb="00375623"/>
      <sz val="11"/>
    </font>
    <font>
      <name val="Calibri"/>
      <b val="1"/>
      <color rgb="004A0E8F"/>
      <sz val="10"/>
    </font>
    <font>
      <name val="Calibri"/>
      <b val="1"/>
      <color rgb="00FFFFFF"/>
      <sz val="16"/>
    </font>
    <font>
      <name val="Calibri"/>
      <b val="1"/>
      <color rgb="001F3864"/>
      <sz val="18"/>
    </font>
    <font>
      <name val="Calibri"/>
      <i val="1"/>
      <color rgb="00595959"/>
      <sz val="8"/>
    </font>
    <font>
      <name val="Calibri"/>
      <b val="1"/>
      <color rgb="007B2C2C"/>
      <sz val="18"/>
    </font>
    <font>
      <name val="Calibri"/>
      <b val="1"/>
      <color rgb="00375623"/>
      <sz val="18"/>
    </font>
    <font>
      <name val="Calibri"/>
      <b val="1"/>
      <color rgb="00BF8F00"/>
      <sz val="18"/>
    </font>
    <font>
      <name val="Calibri"/>
      <b val="1"/>
      <color rgb="007D4E00"/>
      <sz val="18"/>
    </font>
    <font>
      <name val="Calibri"/>
      <b val="1"/>
      <color rgb="00843C0C"/>
      <sz val="18"/>
    </font>
    <font>
      <name val="Calibri"/>
      <b val="1"/>
      <color rgb="00FFFFFF"/>
      <sz val="12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3CD"/>
      </patternFill>
    </fill>
    <fill>
      <patternFill patternType="solid">
        <fgColor rgb="00FCE4D6"/>
      </patternFill>
    </fill>
    <fill>
      <patternFill patternType="solid">
        <fgColor rgb="00FFD7AA"/>
      </patternFill>
    </fill>
    <fill>
      <patternFill patternType="solid">
        <fgColor rgb="37562360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FFFD0"/>
      </patternFill>
    </fill>
    <fill>
      <patternFill patternType="solid">
        <fgColor rgb="00C55A11"/>
      </patternFill>
    </fill>
    <fill>
      <patternFill patternType="solid">
        <fgColor rgb="00DEEAF1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166" fontId="7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3" fontId="9" fillId="9" borderId="1" applyAlignment="1" pivotButton="0" quotePrefix="0" xfId="0">
      <alignment horizontal="right" vertical="center"/>
    </xf>
    <xf numFmtId="166" fontId="9" fillId="9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166" fontId="2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14" fillId="12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3" fontId="18" fillId="3" borderId="1" applyAlignment="1" pivotButton="0" quotePrefix="0" xfId="0">
      <alignment horizontal="right" vertical="center"/>
    </xf>
    <xf numFmtId="166" fontId="18" fillId="3" borderId="1" applyAlignment="1" pivotButton="0" quotePrefix="0" xfId="0">
      <alignment horizontal="right" vertical="center"/>
    </xf>
    <xf numFmtId="3" fontId="18" fillId="5" borderId="1" applyAlignment="1" pivotButton="0" quotePrefix="0" xfId="0">
      <alignment horizontal="right" vertical="center"/>
    </xf>
    <xf numFmtId="166" fontId="18" fillId="5" borderId="1" applyAlignment="1" pivotButton="0" quotePrefix="0" xfId="0">
      <alignment horizontal="right" vertical="center"/>
    </xf>
    <xf numFmtId="166" fontId="19" fillId="7" borderId="1" applyAlignment="1" pivotButton="0" quotePrefix="0" xfId="0">
      <alignment horizontal="right" vertical="center"/>
    </xf>
    <xf numFmtId="0" fontId="20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center" vertical="center"/>
    </xf>
    <xf numFmtId="3" fontId="21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166" fontId="21" fillId="8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1" fillId="5" borderId="1" applyAlignment="1" pivotButton="0" quotePrefix="0" xfId="0">
      <alignment horizontal="left" vertical="center"/>
    </xf>
    <xf numFmtId="0" fontId="22" fillId="2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3" fontId="23" fillId="15" borderId="1" applyAlignment="1" pivotButton="0" quotePrefix="0" xfId="0">
      <alignment horizontal="right" vertical="center"/>
    </xf>
    <xf numFmtId="0" fontId="24" fillId="8" borderId="1" applyAlignment="1" pivotButton="0" quotePrefix="0" xfId="0">
      <alignment horizontal="left" vertical="center"/>
    </xf>
    <xf numFmtId="3" fontId="25" fillId="8" borderId="1" applyAlignment="1" pivotButton="0" quotePrefix="0" xfId="0">
      <alignment horizontal="right" vertical="center"/>
    </xf>
    <xf numFmtId="0" fontId="26" fillId="7" borderId="1" applyAlignment="1" pivotButton="0" quotePrefix="0" xfId="0">
      <alignment horizontal="left" vertical="center"/>
    </xf>
    <xf numFmtId="3" fontId="27" fillId="7" borderId="1" applyAlignment="1" pivotButton="0" quotePrefix="0" xfId="0">
      <alignment horizontal="right" vertical="center"/>
    </xf>
    <xf numFmtId="0" fontId="28" fillId="6" borderId="1" applyAlignment="1" pivotButton="0" quotePrefix="0" xfId="0">
      <alignment horizontal="left" vertical="center"/>
    </xf>
    <xf numFmtId="3" fontId="29" fillId="6" borderId="1" applyAlignment="1" pivotButton="0" quotePrefix="0" xfId="0">
      <alignment horizontal="right" vertical="center"/>
    </xf>
    <xf numFmtId="167" fontId="29" fillId="6" borderId="1" applyAlignment="1" pivotButton="0" quotePrefix="0" xfId="0">
      <alignment horizontal="right" vertical="center"/>
    </xf>
    <xf numFmtId="167" fontId="27" fillId="7" borderId="1" applyAlignment="1" pivotButton="0" quotePrefix="0" xfId="0">
      <alignment horizontal="right" vertical="center"/>
    </xf>
    <xf numFmtId="3" fontId="28" fillId="6" borderId="1" applyAlignment="1" pivotButton="0" quotePrefix="0" xfId="0">
      <alignment horizontal="right" vertical="center"/>
    </xf>
    <xf numFmtId="3" fontId="26" fillId="7" borderId="1" applyAlignment="1" pivotButton="0" quotePrefix="0" xfId="0">
      <alignment horizontal="right" vertical="center"/>
    </xf>
    <xf numFmtId="3" fontId="24" fillId="8" borderId="1" applyAlignment="1" pivotButton="0" quotePrefix="0" xfId="0">
      <alignment horizontal="right" vertical="center"/>
    </xf>
    <xf numFmtId="0" fontId="30" fillId="4" borderId="1" applyAlignment="1" pivotButton="0" quotePrefix="0" xfId="0">
      <alignment horizontal="left" vertical="center"/>
    </xf>
    <xf numFmtId="3" fontId="30" fillId="4" borderId="1" applyAlignment="1" pivotButton="0" quotePrefix="0" xfId="0">
      <alignment horizontal="right" vertical="center"/>
    </xf>
    <xf numFmtId="166" fontId="11" fillId="15" borderId="1" applyAlignment="1" pivotButton="0" quotePrefix="0" xfId="0">
      <alignment horizontal="right" vertical="center"/>
    </xf>
    <xf numFmtId="166" fontId="28" fillId="6" borderId="1" applyAlignment="1" pivotButton="0" quotePrefix="0" xfId="0">
      <alignment horizontal="right" vertical="center"/>
    </xf>
    <xf numFmtId="166" fontId="24" fillId="8" borderId="1" applyAlignment="1" pivotButton="0" quotePrefix="0" xfId="0">
      <alignment horizontal="right" vertical="center"/>
    </xf>
    <xf numFmtId="167" fontId="26" fillId="7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left" vertical="center"/>
    </xf>
    <xf numFmtId="0" fontId="31" fillId="2" borderId="1" applyAlignment="1" pivotButton="0" quotePrefix="0" xfId="0">
      <alignment horizontal="left" vertical="center"/>
    </xf>
    <xf numFmtId="3" fontId="32" fillId="15" borderId="1" applyAlignment="1" pivotButton="0" quotePrefix="0" xfId="0">
      <alignment horizontal="center" vertical="center"/>
    </xf>
    <xf numFmtId="3" fontId="34" fillId="8" borderId="1" applyAlignment="1" pivotButton="0" quotePrefix="0" xfId="0">
      <alignment horizontal="center" vertical="center"/>
    </xf>
    <xf numFmtId="3" fontId="35" fillId="6" borderId="1" applyAlignment="1" pivotButton="0" quotePrefix="0" xfId="0">
      <alignment horizontal="center" vertical="center"/>
    </xf>
    <xf numFmtId="167" fontId="36" fillId="13" borderId="1" applyAlignment="1" pivotButton="0" quotePrefix="0" xfId="0">
      <alignment horizontal="center" vertical="center"/>
    </xf>
    <xf numFmtId="0" fontId="33" fillId="16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3" fontId="37" fillId="7" borderId="1" applyAlignment="1" pivotButton="0" quotePrefix="0" xfId="0">
      <alignment horizontal="center" vertical="center"/>
    </xf>
    <xf numFmtId="3" fontId="38" fillId="9" borderId="1" applyAlignment="1" pivotButton="0" quotePrefix="0" xfId="0">
      <alignment horizontal="center" vertical="center"/>
    </xf>
    <xf numFmtId="3" fontId="18" fillId="8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3" fontId="18" fillId="6" borderId="1" applyAlignment="1" pivotButton="0" quotePrefix="0" xfId="0">
      <alignment horizontal="right" vertical="center"/>
    </xf>
    <xf numFmtId="3" fontId="18" fillId="7" borderId="1" applyAlignment="1" pivotButton="0" quotePrefix="0" xfId="0">
      <alignment horizontal="right" vertical="center"/>
    </xf>
    <xf numFmtId="3" fontId="18" fillId="9" borderId="1" applyAlignment="1" pivotButton="0" quotePrefix="0" xfId="0">
      <alignment horizontal="right" vertical="center"/>
    </xf>
    <xf numFmtId="3" fontId="18" fillId="15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3" fontId="18" fillId="4" borderId="1" applyAlignment="1" pivotButton="0" quotePrefix="0" xfId="0">
      <alignment horizontal="right" vertical="center"/>
    </xf>
    <xf numFmtId="0" fontId="39" fillId="2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Error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'Dashboard'!C14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66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'Dashboard'!$B$15:$B$18</f>
            </numRef>
          </cat>
          <val>
            <numRef>
              <f>'Dashboard'!$C$15:$C$18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Transactions by Payment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7562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'Dashboard'!$E$15:$E$18</f>
            </numRef>
          </cat>
          <val>
            <numRef>
              <f>'Dashboard'!$F$15:$F$18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Product-wise Total Sales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'Dashboard'!I14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'Dashboard'!$H$15:$H$25</f>
            </numRef>
          </cat>
          <val>
            <numRef>
              <f>'Dashboard'!$I$15:$I$25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7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576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42</row>
      <rowOff>0</rowOff>
    </from>
    <ext cx="115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0" customWidth="1" min="5" max="5"/>
    <col width="14" customWidth="1" min="6" max="6"/>
    <col width="16" customWidth="1" min="7" max="7"/>
    <col width="14" customWidth="1" min="8" max="8"/>
  </cols>
  <sheetData>
    <row r="1" ht="32" customHeight="1">
      <c r="A1" s="1" t="inlineStr">
        <is>
          <t>RAW DATA — 120 Transaction Records  |  Contains Intentional Errors</t>
        </is>
      </c>
    </row>
    <row r="2" ht="26" customHeight="1">
      <c r="A2" s="2" t="inlineStr">
        <is>
          <t>Transaction ID</t>
        </is>
      </c>
      <c r="B2" s="2" t="inlineStr">
        <is>
          <t>Date</t>
        </is>
      </c>
      <c r="C2" s="2" t="inlineStr">
        <is>
          <t>Customer Name</t>
        </is>
      </c>
      <c r="D2" s="2" t="inlineStr">
        <is>
          <t>Product</t>
        </is>
      </c>
      <c r="E2" s="2" t="inlineStr">
        <is>
          <t>Quantity</t>
        </is>
      </c>
      <c r="F2" s="2" t="inlineStr">
        <is>
          <t>Unit Price ($)</t>
        </is>
      </c>
      <c r="G2" s="2" t="inlineStr">
        <is>
          <t>Total Amount ($)</t>
        </is>
      </c>
      <c r="H2" s="2" t="inlineStr">
        <is>
          <t>Payment Status</t>
        </is>
      </c>
    </row>
    <row r="3">
      <c r="A3" s="3" t="inlineStr">
        <is>
          <t>TXN1081</t>
        </is>
      </c>
      <c r="B3" s="4" t="n">
        <v>45376</v>
      </c>
      <c r="C3" s="5" t="inlineStr">
        <is>
          <t>Eta Partners</t>
        </is>
      </c>
      <c r="D3" s="5" t="inlineStr">
        <is>
          <t>Tablet</t>
        </is>
      </c>
      <c r="E3" s="6" t="n">
        <v>10</v>
      </c>
      <c r="F3" s="7" t="n">
        <v>32000</v>
      </c>
      <c r="G3" s="7" t="n">
        <v>320000</v>
      </c>
      <c r="H3" s="8" t="inlineStr">
        <is>
          <t>Refunded</t>
        </is>
      </c>
    </row>
    <row r="4">
      <c r="A4" s="9" t="inlineStr">
        <is>
          <t>TXN1082</t>
        </is>
      </c>
      <c r="B4" s="10" t="n">
        <v>45402</v>
      </c>
      <c r="C4" s="11" t="inlineStr">
        <is>
          <t>Nu Ventures</t>
        </is>
      </c>
      <c r="D4" s="11" t="inlineStr">
        <is>
          <t>Printer</t>
        </is>
      </c>
      <c r="E4" s="12" t="n">
        <v>17</v>
      </c>
      <c r="F4" s="13" t="n">
        <v>18000</v>
      </c>
      <c r="G4" s="13" t="n">
        <v>306000</v>
      </c>
      <c r="H4" s="14" t="inlineStr">
        <is>
          <t>Paid</t>
        </is>
      </c>
    </row>
    <row r="5">
      <c r="A5" s="3" t="inlineStr">
        <is>
          <t>TXN1083</t>
        </is>
      </c>
      <c r="B5" s="4" t="n">
        <v>45550</v>
      </c>
      <c r="C5" s="5" t="inlineStr">
        <is>
          <t>Iota Ltd</t>
        </is>
      </c>
      <c r="D5" s="5" t="inlineStr">
        <is>
          <t>Mouse</t>
        </is>
      </c>
      <c r="E5" s="6" t="n">
        <v>1</v>
      </c>
      <c r="F5" s="7" t="n">
        <v>1200</v>
      </c>
      <c r="G5" s="15" t="n">
        <v>1320</v>
      </c>
      <c r="H5" s="16" t="inlineStr">
        <is>
          <t>Pending</t>
        </is>
      </c>
    </row>
    <row r="6">
      <c r="A6" s="17" t="inlineStr">
        <is>
          <t>TXN1020</t>
        </is>
      </c>
      <c r="B6" s="10" t="n">
        <v>45511</v>
      </c>
      <c r="C6" s="11" t="inlineStr">
        <is>
          <t>Beta Ltd</t>
        </is>
      </c>
      <c r="D6" s="11" t="inlineStr">
        <is>
          <t>Keyboard</t>
        </is>
      </c>
      <c r="E6" s="12" t="n">
        <v>8</v>
      </c>
      <c r="F6" s="13" t="n">
        <v>3500</v>
      </c>
      <c r="G6" s="13" t="n">
        <v>28000</v>
      </c>
      <c r="H6" s="14" t="inlineStr">
        <is>
          <t>Paid</t>
        </is>
      </c>
    </row>
    <row r="7">
      <c r="A7" s="3" t="inlineStr">
        <is>
          <t>TXN1085</t>
        </is>
      </c>
      <c r="B7" s="4" t="n">
        <v>45647</v>
      </c>
      <c r="C7" s="5" t="inlineStr">
        <is>
          <t xml:space="preserve">  Acme Corp  </t>
        </is>
      </c>
      <c r="D7" s="5" t="inlineStr">
        <is>
          <t>Tablet</t>
        </is>
      </c>
      <c r="E7" s="6" t="n">
        <v>14</v>
      </c>
      <c r="F7" s="7" t="n">
        <v>32000</v>
      </c>
      <c r="G7" s="7" t="n">
        <v>448000</v>
      </c>
      <c r="H7" s="8" t="inlineStr">
        <is>
          <t>Refunded</t>
        </is>
      </c>
    </row>
    <row r="8">
      <c r="A8" s="9" t="inlineStr">
        <is>
          <t>TXN1086</t>
        </is>
      </c>
      <c r="B8" s="10" t="n">
        <v>45309</v>
      </c>
      <c r="C8" s="11" t="inlineStr">
        <is>
          <t>Zeta Group</t>
        </is>
      </c>
      <c r="D8" s="11" t="inlineStr">
        <is>
          <t>Scanner</t>
        </is>
      </c>
      <c r="E8" s="12" t="n">
        <v>16</v>
      </c>
      <c r="F8" s="13" t="n">
        <v>12000</v>
      </c>
      <c r="G8" s="13" t="n">
        <v>192000</v>
      </c>
      <c r="H8" s="14" t="inlineStr">
        <is>
          <t>Paid</t>
        </is>
      </c>
    </row>
    <row r="9">
      <c r="A9" s="3" t="inlineStr">
        <is>
          <t>TXN1087</t>
        </is>
      </c>
      <c r="B9" s="4" t="n">
        <v>45624</v>
      </c>
      <c r="C9" s="18" t="inlineStr">
        <is>
          <t>[BLANK]</t>
        </is>
      </c>
      <c r="D9" s="5" t="inlineStr">
        <is>
          <t>Webcam</t>
        </is>
      </c>
      <c r="E9" s="6" t="n">
        <v>1</v>
      </c>
      <c r="F9" s="7" t="n">
        <v>4500</v>
      </c>
      <c r="G9" s="7" t="n">
        <v>4500</v>
      </c>
      <c r="H9" s="14" t="inlineStr">
        <is>
          <t>Paid</t>
        </is>
      </c>
    </row>
    <row r="10">
      <c r="A10" s="9" t="inlineStr">
        <is>
          <t>TXN1088</t>
        </is>
      </c>
      <c r="B10" s="10" t="n">
        <v>45337</v>
      </c>
      <c r="C10" s="11" t="inlineStr">
        <is>
          <t>Beta Ltd</t>
        </is>
      </c>
      <c r="D10" s="11" t="inlineStr">
        <is>
          <t>Laptop</t>
        </is>
      </c>
      <c r="E10" s="12" t="n">
        <v>15</v>
      </c>
      <c r="F10" s="13" t="n">
        <v>85000</v>
      </c>
      <c r="G10" s="13" t="n">
        <v>1275000</v>
      </c>
      <c r="H10" s="14" t="inlineStr">
        <is>
          <t>Paid</t>
        </is>
      </c>
    </row>
    <row r="11">
      <c r="A11" s="17" t="inlineStr">
        <is>
          <t>TXN1020</t>
        </is>
      </c>
      <c r="B11" s="4" t="n">
        <v>45467</v>
      </c>
      <c r="C11" s="5" t="inlineStr">
        <is>
          <t>Eta Partners</t>
        </is>
      </c>
      <c r="D11" s="5" t="inlineStr">
        <is>
          <t>Printer</t>
        </is>
      </c>
      <c r="E11" s="6" t="n">
        <v>5</v>
      </c>
      <c r="F11" s="7" t="n">
        <v>18000</v>
      </c>
      <c r="G11" s="7" t="n">
        <v>90000</v>
      </c>
      <c r="H11" s="14" t="inlineStr">
        <is>
          <t>Paid</t>
        </is>
      </c>
    </row>
    <row r="12">
      <c r="A12" s="9" t="inlineStr">
        <is>
          <t>TXN1090</t>
        </is>
      </c>
      <c r="B12" s="10" t="n">
        <v>45632</v>
      </c>
      <c r="C12" s="11" t="inlineStr">
        <is>
          <t>Acme Corp</t>
        </is>
      </c>
      <c r="D12" s="11" t="inlineStr">
        <is>
          <t>Printer</t>
        </is>
      </c>
      <c r="E12" s="12" t="n">
        <v>8</v>
      </c>
      <c r="F12" s="13" t="n">
        <v>18000</v>
      </c>
      <c r="G12" s="13" t="n">
        <v>144000</v>
      </c>
      <c r="H12" s="14" t="inlineStr">
        <is>
          <t>Paid</t>
        </is>
      </c>
    </row>
    <row r="13">
      <c r="A13" s="3" t="inlineStr">
        <is>
          <t>TXN1091</t>
        </is>
      </c>
      <c r="B13" s="4" t="n">
        <v>45393</v>
      </c>
      <c r="C13" s="5" t="inlineStr">
        <is>
          <t>Delta Co</t>
        </is>
      </c>
      <c r="D13" s="5" t="inlineStr">
        <is>
          <t>USB Hub</t>
        </is>
      </c>
      <c r="E13" s="6" t="n">
        <v>3</v>
      </c>
      <c r="F13" s="7" t="n">
        <v>2200</v>
      </c>
      <c r="G13" s="15" t="n">
        <v>7260</v>
      </c>
      <c r="H13" s="8" t="inlineStr">
        <is>
          <t>Refunded</t>
        </is>
      </c>
    </row>
    <row r="14">
      <c r="A14" s="9" t="inlineStr">
        <is>
          <t>TXN1092</t>
        </is>
      </c>
      <c r="B14" s="10" t="n">
        <v>45578</v>
      </c>
      <c r="C14" s="11" t="inlineStr">
        <is>
          <t>Xi Corp</t>
        </is>
      </c>
      <c r="D14" s="18" t="inlineStr">
        <is>
          <t>[BLANK]</t>
        </is>
      </c>
      <c r="E14" s="12" t="n">
        <v>13</v>
      </c>
      <c r="F14" s="13" t="n">
        <v>5000</v>
      </c>
      <c r="G14" s="13" t="n">
        <v>65000</v>
      </c>
      <c r="H14" s="14" t="inlineStr">
        <is>
          <t>Paid</t>
        </is>
      </c>
    </row>
    <row r="15">
      <c r="A15" s="3" t="inlineStr">
        <is>
          <t>TXN1093</t>
        </is>
      </c>
      <c r="B15" s="4" t="n">
        <v>45466</v>
      </c>
      <c r="C15" s="5" t="inlineStr">
        <is>
          <t>Omicron Ltd</t>
        </is>
      </c>
      <c r="D15" s="5" t="inlineStr">
        <is>
          <t>Keyboard</t>
        </is>
      </c>
      <c r="E15" s="6" t="n">
        <v>18</v>
      </c>
      <c r="F15" s="7" t="n">
        <v>3500</v>
      </c>
      <c r="G15" s="7" t="n">
        <v>63000</v>
      </c>
      <c r="H15" s="17" t="inlineStr">
        <is>
          <t>Failed</t>
        </is>
      </c>
    </row>
    <row r="16">
      <c r="A16" s="17" t="inlineStr">
        <is>
          <t>TXN1010</t>
        </is>
      </c>
      <c r="B16" s="10" t="n">
        <v>45478</v>
      </c>
      <c r="C16" s="11" t="inlineStr">
        <is>
          <t>Theta Corp</t>
        </is>
      </c>
      <c r="D16" s="11" t="inlineStr">
        <is>
          <t>Scanner</t>
        </is>
      </c>
      <c r="E16" s="12" t="n">
        <v>13</v>
      </c>
      <c r="F16" s="13" t="n">
        <v>12000</v>
      </c>
      <c r="G16" s="13" t="n">
        <v>156000</v>
      </c>
      <c r="H16" s="16" t="inlineStr">
        <is>
          <t>Pending</t>
        </is>
      </c>
    </row>
    <row r="17">
      <c r="A17" s="3" t="inlineStr">
        <is>
          <t>TXN1095</t>
        </is>
      </c>
      <c r="B17" s="4" t="n">
        <v>45540</v>
      </c>
      <c r="C17" s="5" t="inlineStr">
        <is>
          <t>Eta Partners</t>
        </is>
      </c>
      <c r="D17" s="5" t="inlineStr">
        <is>
          <t>Headphones</t>
        </is>
      </c>
      <c r="E17" s="6" t="n">
        <v>1</v>
      </c>
      <c r="F17" s="7" t="n">
        <v>8500</v>
      </c>
      <c r="G17" s="7" t="n">
        <v>8500</v>
      </c>
      <c r="H17" s="14" t="inlineStr">
        <is>
          <t>Paid</t>
        </is>
      </c>
    </row>
    <row r="18">
      <c r="A18" s="9" t="inlineStr">
        <is>
          <t>TXN1096</t>
        </is>
      </c>
      <c r="B18" s="10" t="n">
        <v>45373</v>
      </c>
      <c r="C18" s="11" t="inlineStr">
        <is>
          <t>Mu Holdings</t>
        </is>
      </c>
      <c r="D18" s="11" t="inlineStr">
        <is>
          <t>Printer</t>
        </is>
      </c>
      <c r="E18" s="12" t="n">
        <v>1</v>
      </c>
      <c r="F18" s="13" t="n">
        <v>18000</v>
      </c>
      <c r="G18" s="13" t="n">
        <v>18000</v>
      </c>
      <c r="H18" s="8" t="inlineStr">
        <is>
          <t>Refunded</t>
        </is>
      </c>
    </row>
    <row r="19">
      <c r="A19" s="3" t="inlineStr">
        <is>
          <t>TXN1097</t>
        </is>
      </c>
      <c r="B19" s="4" t="n">
        <v>45327</v>
      </c>
      <c r="C19" s="18" t="inlineStr">
        <is>
          <t>[BLANK]</t>
        </is>
      </c>
      <c r="D19" s="5" t="inlineStr">
        <is>
          <t>Scanner</t>
        </is>
      </c>
      <c r="E19" s="6" t="n">
        <v>20</v>
      </c>
      <c r="F19" s="7" t="n">
        <v>12000</v>
      </c>
      <c r="G19" s="7" t="n">
        <v>240000</v>
      </c>
      <c r="H19" s="14" t="inlineStr">
        <is>
          <t>Paid</t>
        </is>
      </c>
    </row>
    <row r="20">
      <c r="A20" s="9" t="inlineStr">
        <is>
          <t>TXN1098</t>
        </is>
      </c>
      <c r="B20" s="10" t="n">
        <v>45584</v>
      </c>
      <c r="C20" s="11" t="inlineStr">
        <is>
          <t>Kappa Inc</t>
        </is>
      </c>
      <c r="D20" s="11" t="inlineStr">
        <is>
          <t>Webcam</t>
        </is>
      </c>
      <c r="E20" s="12" t="n">
        <v>18</v>
      </c>
      <c r="F20" s="13" t="n">
        <v>4500</v>
      </c>
      <c r="G20" s="13" t="n">
        <v>81000</v>
      </c>
      <c r="H20" s="14" t="inlineStr">
        <is>
          <t>Paid</t>
        </is>
      </c>
    </row>
    <row r="21">
      <c r="A21" s="17" t="inlineStr">
        <is>
          <t>TXN1005</t>
        </is>
      </c>
      <c r="B21" s="4" t="n">
        <v>45634</v>
      </c>
      <c r="C21" s="5" t="inlineStr">
        <is>
          <t>Gamma Inc</t>
        </is>
      </c>
      <c r="D21" s="5" t="inlineStr">
        <is>
          <t>Webcam</t>
        </is>
      </c>
      <c r="E21" s="6" t="n">
        <v>11</v>
      </c>
      <c r="F21" s="7" t="n">
        <v>4500</v>
      </c>
      <c r="G21" s="15" t="n">
        <v>74250</v>
      </c>
      <c r="H21" s="16" t="inlineStr">
        <is>
          <t>Pending</t>
        </is>
      </c>
    </row>
    <row r="22">
      <c r="A22" s="9" t="inlineStr">
        <is>
          <t>TXN1100</t>
        </is>
      </c>
      <c r="B22" s="10" t="n">
        <v>45417</v>
      </c>
      <c r="C22" s="11" t="inlineStr">
        <is>
          <t>Beta Ltd</t>
        </is>
      </c>
      <c r="D22" s="11" t="inlineStr">
        <is>
          <t>Keyboard</t>
        </is>
      </c>
      <c r="E22" s="12" t="n">
        <v>3</v>
      </c>
      <c r="F22" s="13" t="n">
        <v>3500</v>
      </c>
      <c r="G22" s="13" t="n">
        <v>10500</v>
      </c>
      <c r="H22" s="14" t="inlineStr">
        <is>
          <t>Paid</t>
        </is>
      </c>
    </row>
    <row r="23">
      <c r="A23" s="3" t="inlineStr">
        <is>
          <t>TXN1101</t>
        </is>
      </c>
      <c r="B23" s="4" t="n">
        <v>45511</v>
      </c>
      <c r="C23" s="5" t="inlineStr">
        <is>
          <t>Zeta Group</t>
        </is>
      </c>
      <c r="D23" s="5" t="inlineStr">
        <is>
          <t>Keyboard</t>
        </is>
      </c>
      <c r="E23" s="6" t="n">
        <v>2</v>
      </c>
      <c r="F23" s="7" t="n">
        <v>3500</v>
      </c>
      <c r="G23" s="7" t="n">
        <v>7000</v>
      </c>
      <c r="H23" s="14" t="inlineStr">
        <is>
          <t>Paid</t>
        </is>
      </c>
    </row>
    <row r="24">
      <c r="A24" s="9" t="inlineStr">
        <is>
          <t>TXN1102</t>
        </is>
      </c>
      <c r="B24" s="17" t="inlineStr"/>
      <c r="C24" s="11" t="inlineStr">
        <is>
          <t xml:space="preserve">  Eta Partners  </t>
        </is>
      </c>
      <c r="D24" s="11" t="inlineStr">
        <is>
          <t>Keyboard</t>
        </is>
      </c>
      <c r="E24" s="12" t="n">
        <v>19</v>
      </c>
      <c r="F24" s="13" t="n">
        <v>3500</v>
      </c>
      <c r="G24" s="13" t="n">
        <v>66500</v>
      </c>
      <c r="H24" s="14" t="inlineStr">
        <is>
          <t>Paid</t>
        </is>
      </c>
    </row>
    <row r="25">
      <c r="A25" s="3" t="inlineStr">
        <is>
          <t>TXN1103</t>
        </is>
      </c>
      <c r="B25" s="4" t="n">
        <v>45469</v>
      </c>
      <c r="C25" s="5" t="inlineStr">
        <is>
          <t>Theta Corp</t>
        </is>
      </c>
      <c r="D25" s="5" t="inlineStr">
        <is>
          <t>Scanner</t>
        </is>
      </c>
      <c r="E25" s="6" t="n">
        <v>13</v>
      </c>
      <c r="F25" s="7" t="n">
        <v>12000</v>
      </c>
      <c r="G25" s="7" t="n">
        <v>156000</v>
      </c>
      <c r="H25" s="14" t="inlineStr">
        <is>
          <t>Paid</t>
        </is>
      </c>
    </row>
    <row r="26">
      <c r="A26" s="17" t="inlineStr">
        <is>
          <t>TXN1005</t>
        </is>
      </c>
      <c r="B26" s="10" t="n">
        <v>45375</v>
      </c>
      <c r="C26" s="11" t="inlineStr">
        <is>
          <t>Iota Ltd</t>
        </is>
      </c>
      <c r="D26" s="11" t="inlineStr">
        <is>
          <t>Monitor</t>
        </is>
      </c>
      <c r="E26" s="12" t="n">
        <v>15</v>
      </c>
      <c r="F26" s="13" t="n">
        <v>22000</v>
      </c>
      <c r="G26" s="13" t="n">
        <v>330000</v>
      </c>
      <c r="H26" s="17" t="inlineStr">
        <is>
          <t>Failed</t>
        </is>
      </c>
    </row>
    <row r="27">
      <c r="A27" s="3" t="inlineStr">
        <is>
          <t>TXN1105</t>
        </is>
      </c>
      <c r="B27" s="4" t="n">
        <v>45539</v>
      </c>
      <c r="C27" s="5" t="inlineStr">
        <is>
          <t>Acme Corp</t>
        </is>
      </c>
      <c r="D27" s="5" t="inlineStr">
        <is>
          <t>Headphones</t>
        </is>
      </c>
      <c r="E27" s="6" t="n">
        <v>2</v>
      </c>
      <c r="F27" s="7" t="n">
        <v>8500</v>
      </c>
      <c r="G27" s="7" t="n">
        <v>17000</v>
      </c>
      <c r="H27" s="16" t="inlineStr">
        <is>
          <t>Pending</t>
        </is>
      </c>
    </row>
    <row r="28">
      <c r="A28" s="9" t="inlineStr">
        <is>
          <t>TXN1106</t>
        </is>
      </c>
      <c r="B28" s="10" t="n">
        <v>45629</v>
      </c>
      <c r="C28" s="11" t="inlineStr">
        <is>
          <t>Epsilon LLC</t>
        </is>
      </c>
      <c r="D28" s="11" t="inlineStr">
        <is>
          <t>Laptop</t>
        </is>
      </c>
      <c r="E28" s="12" t="n">
        <v>14</v>
      </c>
      <c r="F28" s="13" t="n">
        <v>85000</v>
      </c>
      <c r="G28" s="13" t="n">
        <v>1190000</v>
      </c>
      <c r="H28" s="14" t="inlineStr">
        <is>
          <t>Paid</t>
        </is>
      </c>
    </row>
    <row r="29">
      <c r="A29" s="3" t="inlineStr">
        <is>
          <t>TXN1107</t>
        </is>
      </c>
      <c r="B29" s="4" t="n">
        <v>45379</v>
      </c>
      <c r="C29" s="18" t="inlineStr">
        <is>
          <t>[BLANK]</t>
        </is>
      </c>
      <c r="D29" s="5" t="inlineStr">
        <is>
          <t>Tablet</t>
        </is>
      </c>
      <c r="E29" s="6" t="n">
        <v>3</v>
      </c>
      <c r="F29" s="7" t="n">
        <v>32000</v>
      </c>
      <c r="G29" s="15" t="n">
        <v>144000</v>
      </c>
      <c r="H29" s="14" t="inlineStr">
        <is>
          <t>Paid</t>
        </is>
      </c>
    </row>
    <row r="30">
      <c r="A30" s="9" t="inlineStr">
        <is>
          <t>TXN1108</t>
        </is>
      </c>
      <c r="B30" s="10" t="n">
        <v>45369</v>
      </c>
      <c r="C30" s="11" t="inlineStr">
        <is>
          <t>Mu Holdings</t>
        </is>
      </c>
      <c r="D30" s="11" t="inlineStr">
        <is>
          <t>Printer</t>
        </is>
      </c>
      <c r="E30" s="12" t="n">
        <v>2</v>
      </c>
      <c r="F30" s="13" t="n">
        <v>18000</v>
      </c>
      <c r="G30" s="13" t="n">
        <v>36000</v>
      </c>
      <c r="H30" s="16" t="inlineStr">
        <is>
          <t>Pending</t>
        </is>
      </c>
    </row>
    <row r="31">
      <c r="A31" s="17" t="inlineStr">
        <is>
          <t>TXN1005</t>
        </is>
      </c>
      <c r="B31" s="4" t="n">
        <v>45624</v>
      </c>
      <c r="C31" s="5" t="inlineStr">
        <is>
          <t>Iota Ltd</t>
        </is>
      </c>
      <c r="D31" s="5" t="inlineStr">
        <is>
          <t>Printer</t>
        </is>
      </c>
      <c r="E31" s="6" t="n">
        <v>1</v>
      </c>
      <c r="F31" s="7" t="n">
        <v>18000</v>
      </c>
      <c r="G31" s="7" t="n">
        <v>18000</v>
      </c>
      <c r="H31" s="14" t="inlineStr">
        <is>
          <t>Paid</t>
        </is>
      </c>
    </row>
    <row r="32">
      <c r="A32" s="9" t="inlineStr">
        <is>
          <t>TXN1110</t>
        </is>
      </c>
      <c r="B32" s="10" t="n">
        <v>45479</v>
      </c>
      <c r="C32" s="11" t="inlineStr">
        <is>
          <t>Nu Ventures</t>
        </is>
      </c>
      <c r="D32" s="11" t="inlineStr">
        <is>
          <t>Keyboard</t>
        </is>
      </c>
      <c r="E32" s="12" t="n">
        <v>12</v>
      </c>
      <c r="F32" s="13" t="n">
        <v>3500</v>
      </c>
      <c r="G32" s="13" t="n">
        <v>42000</v>
      </c>
      <c r="H32" s="17" t="inlineStr">
        <is>
          <t>Failed</t>
        </is>
      </c>
    </row>
    <row r="33">
      <c r="A33" s="3" t="inlineStr">
        <is>
          <t>TXN1111</t>
        </is>
      </c>
      <c r="B33" s="4" t="n">
        <v>45540</v>
      </c>
      <c r="C33" s="5" t="inlineStr">
        <is>
          <t>Kappa Inc</t>
        </is>
      </c>
      <c r="D33" s="5" t="inlineStr">
        <is>
          <t>Printer</t>
        </is>
      </c>
      <c r="E33" s="6" t="n">
        <v>10</v>
      </c>
      <c r="F33" s="7" t="n">
        <v>18000</v>
      </c>
      <c r="G33" s="7" t="n">
        <v>180000</v>
      </c>
      <c r="H33" s="14" t="inlineStr">
        <is>
          <t>Paid</t>
        </is>
      </c>
    </row>
    <row r="34">
      <c r="A34" s="9" t="inlineStr">
        <is>
          <t>TXN1112</t>
        </is>
      </c>
      <c r="B34" s="10" t="n">
        <v>45565</v>
      </c>
      <c r="C34" s="11" t="inlineStr">
        <is>
          <t>Kappa Inc</t>
        </is>
      </c>
      <c r="D34" s="18" t="inlineStr">
        <is>
          <t>[BLANK]</t>
        </is>
      </c>
      <c r="E34" s="12" t="n">
        <v>9</v>
      </c>
      <c r="F34" s="13" t="n">
        <v>5000</v>
      </c>
      <c r="G34" s="13" t="n">
        <v>45000</v>
      </c>
      <c r="H34" s="14" t="inlineStr">
        <is>
          <t>Paid</t>
        </is>
      </c>
    </row>
    <row r="35">
      <c r="A35" s="3" t="inlineStr">
        <is>
          <t>TXN1113</t>
        </is>
      </c>
      <c r="B35" s="4" t="n">
        <v>45297</v>
      </c>
      <c r="C35" s="5" t="inlineStr">
        <is>
          <t>Eta Partners</t>
        </is>
      </c>
      <c r="D35" s="5" t="inlineStr">
        <is>
          <t>Keyboard</t>
        </is>
      </c>
      <c r="E35" s="6" t="n">
        <v>1</v>
      </c>
      <c r="F35" s="7" t="n">
        <v>3500</v>
      </c>
      <c r="G35" s="7" t="n">
        <v>3500</v>
      </c>
      <c r="H35" s="16" t="inlineStr">
        <is>
          <t>Pending</t>
        </is>
      </c>
    </row>
    <row r="36">
      <c r="A36" s="17" t="inlineStr">
        <is>
          <t>TXN1020</t>
        </is>
      </c>
      <c r="B36" s="10" t="n">
        <v>45458</v>
      </c>
      <c r="C36" s="11" t="inlineStr">
        <is>
          <t>Lambda Co</t>
        </is>
      </c>
      <c r="D36" s="11" t="inlineStr">
        <is>
          <t>Mouse</t>
        </is>
      </c>
      <c r="E36" s="12" t="n">
        <v>19</v>
      </c>
      <c r="F36" s="13" t="n">
        <v>1200</v>
      </c>
      <c r="G36" s="13" t="n">
        <v>22800</v>
      </c>
      <c r="H36" s="17" t="inlineStr">
        <is>
          <t>Failed</t>
        </is>
      </c>
    </row>
    <row r="37">
      <c r="A37" s="3" t="inlineStr">
        <is>
          <t>TXN1115</t>
        </is>
      </c>
      <c r="B37" s="4" t="n">
        <v>45423</v>
      </c>
      <c r="C37" s="5" t="inlineStr">
        <is>
          <t>Lambda Co</t>
        </is>
      </c>
      <c r="D37" s="5" t="inlineStr">
        <is>
          <t>Tablet</t>
        </is>
      </c>
      <c r="E37" s="6" t="n">
        <v>5</v>
      </c>
      <c r="F37" s="7" t="n">
        <v>32000</v>
      </c>
      <c r="G37" s="15" t="n">
        <v>136000</v>
      </c>
      <c r="H37" s="14" t="inlineStr">
        <is>
          <t>Paid</t>
        </is>
      </c>
    </row>
    <row r="38">
      <c r="A38" s="9" t="inlineStr">
        <is>
          <t>TXN1116</t>
        </is>
      </c>
      <c r="B38" s="10" t="n">
        <v>45340</v>
      </c>
      <c r="C38" s="11" t="inlineStr">
        <is>
          <t>Eta Partners</t>
        </is>
      </c>
      <c r="D38" s="11" t="inlineStr">
        <is>
          <t>Monitor</t>
        </is>
      </c>
      <c r="E38" s="12" t="n">
        <v>6</v>
      </c>
      <c r="F38" s="13" t="n">
        <v>22000</v>
      </c>
      <c r="G38" s="13" t="n">
        <v>132000</v>
      </c>
      <c r="H38" s="14" t="inlineStr">
        <is>
          <t>Paid</t>
        </is>
      </c>
    </row>
    <row r="39">
      <c r="A39" s="3" t="inlineStr">
        <is>
          <t>TXN1117</t>
        </is>
      </c>
      <c r="B39" s="4" t="n">
        <v>45620</v>
      </c>
      <c r="C39" s="18" t="inlineStr">
        <is>
          <t>[BLANK]</t>
        </is>
      </c>
      <c r="D39" s="5" t="inlineStr">
        <is>
          <t>Printer</t>
        </is>
      </c>
      <c r="E39" s="6" t="n">
        <v>5</v>
      </c>
      <c r="F39" s="7" t="n">
        <v>18000</v>
      </c>
      <c r="G39" s="7" t="n">
        <v>90000</v>
      </c>
      <c r="H39" s="14" t="inlineStr">
        <is>
          <t>Paid</t>
        </is>
      </c>
    </row>
    <row r="40">
      <c r="A40" s="9" t="inlineStr">
        <is>
          <t>TXN1118</t>
        </is>
      </c>
      <c r="B40" s="10" t="n">
        <v>45352</v>
      </c>
      <c r="C40" s="11" t="inlineStr">
        <is>
          <t xml:space="preserve">  Lambda Co  </t>
        </is>
      </c>
      <c r="D40" s="11" t="inlineStr">
        <is>
          <t>Headphones</t>
        </is>
      </c>
      <c r="E40" s="12" t="n">
        <v>5</v>
      </c>
      <c r="F40" s="13" t="n">
        <v>8500</v>
      </c>
      <c r="G40" s="13" t="n">
        <v>42500</v>
      </c>
      <c r="H40" s="16" t="inlineStr">
        <is>
          <t>Pending</t>
        </is>
      </c>
    </row>
    <row r="41">
      <c r="A41" s="17" t="inlineStr">
        <is>
          <t>TXN1020</t>
        </is>
      </c>
      <c r="B41" s="4" t="n">
        <v>45458</v>
      </c>
      <c r="C41" s="5" t="inlineStr">
        <is>
          <t>Eta Partners</t>
        </is>
      </c>
      <c r="D41" s="5" t="inlineStr">
        <is>
          <t>Printer</t>
        </is>
      </c>
      <c r="E41" s="6" t="n">
        <v>8</v>
      </c>
      <c r="F41" s="7" t="n">
        <v>18000</v>
      </c>
      <c r="G41" s="7" t="n">
        <v>144000</v>
      </c>
      <c r="H41" s="14" t="inlineStr">
        <is>
          <t>Paid</t>
        </is>
      </c>
    </row>
    <row r="42">
      <c r="A42" s="9" t="inlineStr">
        <is>
          <t>TXN1120</t>
        </is>
      </c>
      <c r="B42" s="10" t="n">
        <v>45384</v>
      </c>
      <c r="C42" s="11" t="inlineStr">
        <is>
          <t>Gamma Inc</t>
        </is>
      </c>
      <c r="D42" s="11" t="inlineStr">
        <is>
          <t>Tablet</t>
        </is>
      </c>
      <c r="E42" s="12" t="n">
        <v>7</v>
      </c>
      <c r="F42" s="13" t="n">
        <v>32000</v>
      </c>
      <c r="G42" s="13" t="n">
        <v>224000</v>
      </c>
      <c r="H42" s="14" t="inlineStr">
        <is>
          <t>Paid</t>
        </is>
      </c>
    </row>
    <row r="43">
      <c r="A43" s="3" t="inlineStr">
        <is>
          <t>TXN1121</t>
        </is>
      </c>
      <c r="B43" s="4" t="n">
        <v>45601</v>
      </c>
      <c r="C43" s="5" t="inlineStr">
        <is>
          <t>Mu Holdings</t>
        </is>
      </c>
      <c r="D43" s="5" t="inlineStr">
        <is>
          <t>Scanner</t>
        </is>
      </c>
      <c r="E43" s="6" t="n">
        <v>2</v>
      </c>
      <c r="F43" s="7" t="n">
        <v>12000</v>
      </c>
      <c r="G43" s="7" t="n">
        <v>24000</v>
      </c>
      <c r="H43" s="14" t="inlineStr">
        <is>
          <t>Paid</t>
        </is>
      </c>
    </row>
    <row r="44">
      <c r="A44" s="9" t="inlineStr">
        <is>
          <t>TXN1122</t>
        </is>
      </c>
      <c r="B44" s="17" t="inlineStr"/>
      <c r="C44" s="11" t="inlineStr">
        <is>
          <t>Eta Partners</t>
        </is>
      </c>
      <c r="D44" s="11" t="inlineStr">
        <is>
          <t>Printer</t>
        </is>
      </c>
      <c r="E44" s="12" t="n">
        <v>3</v>
      </c>
      <c r="F44" s="13" t="n">
        <v>18000</v>
      </c>
      <c r="G44" s="13" t="n">
        <v>54000</v>
      </c>
      <c r="H44" s="17" t="inlineStr">
        <is>
          <t>Failed</t>
        </is>
      </c>
    </row>
    <row r="45">
      <c r="A45" s="3" t="inlineStr">
        <is>
          <t>TXN1123</t>
        </is>
      </c>
      <c r="B45" s="4" t="n">
        <v>45582</v>
      </c>
      <c r="C45" s="5" t="inlineStr">
        <is>
          <t>Gamma Inc</t>
        </is>
      </c>
      <c r="D45" s="5" t="inlineStr">
        <is>
          <t>Mouse</t>
        </is>
      </c>
      <c r="E45" s="6" t="n">
        <v>9</v>
      </c>
      <c r="F45" s="7" t="n">
        <v>1200</v>
      </c>
      <c r="G45" s="15" t="n">
        <v>13500</v>
      </c>
      <c r="H45" s="16" t="inlineStr">
        <is>
          <t>Pending</t>
        </is>
      </c>
    </row>
    <row r="46">
      <c r="A46" s="17" t="inlineStr">
        <is>
          <t>TXN1001</t>
        </is>
      </c>
      <c r="B46" s="10" t="n">
        <v>45417</v>
      </c>
      <c r="C46" s="11" t="inlineStr">
        <is>
          <t>Eta Partners</t>
        </is>
      </c>
      <c r="D46" s="11" t="inlineStr">
        <is>
          <t>Keyboard</t>
        </is>
      </c>
      <c r="E46" s="12" t="n">
        <v>10</v>
      </c>
      <c r="F46" s="13" t="n">
        <v>3500</v>
      </c>
      <c r="G46" s="13" t="n">
        <v>35000</v>
      </c>
      <c r="H46" s="16" t="inlineStr">
        <is>
          <t>Pending</t>
        </is>
      </c>
    </row>
    <row r="47">
      <c r="A47" s="3" t="inlineStr">
        <is>
          <t>TXN1125</t>
        </is>
      </c>
      <c r="B47" s="4" t="n">
        <v>45549</v>
      </c>
      <c r="C47" s="5" t="inlineStr">
        <is>
          <t>Nu Ventures</t>
        </is>
      </c>
      <c r="D47" s="5" t="inlineStr">
        <is>
          <t>Scanner</t>
        </is>
      </c>
      <c r="E47" s="19" t="n">
        <v>-16</v>
      </c>
      <c r="F47" s="7" t="n">
        <v>12000</v>
      </c>
      <c r="G47" s="7" t="n">
        <v>-192000</v>
      </c>
      <c r="H47" s="14" t="inlineStr">
        <is>
          <t>Paid</t>
        </is>
      </c>
    </row>
    <row r="48">
      <c r="A48" s="9" t="inlineStr">
        <is>
          <t>TXN1126</t>
        </is>
      </c>
      <c r="B48" s="10" t="n">
        <v>45571</v>
      </c>
      <c r="C48" s="11" t="inlineStr">
        <is>
          <t>Kappa Inc</t>
        </is>
      </c>
      <c r="D48" s="11" t="inlineStr">
        <is>
          <t>Laptop</t>
        </is>
      </c>
      <c r="E48" s="12" t="n">
        <v>17</v>
      </c>
      <c r="F48" s="13" t="n">
        <v>85000</v>
      </c>
      <c r="G48" s="13" t="n">
        <v>1445000</v>
      </c>
      <c r="H48" s="16" t="inlineStr">
        <is>
          <t>Pending</t>
        </is>
      </c>
    </row>
    <row r="49">
      <c r="A49" s="3" t="inlineStr">
        <is>
          <t>TXN1127</t>
        </is>
      </c>
      <c r="B49" s="4" t="n">
        <v>45556</v>
      </c>
      <c r="C49" s="18" t="inlineStr">
        <is>
          <t>[BLANK]</t>
        </is>
      </c>
      <c r="D49" s="5" t="inlineStr">
        <is>
          <t>Headphones</t>
        </is>
      </c>
      <c r="E49" s="6" t="n">
        <v>10</v>
      </c>
      <c r="F49" s="7" t="n">
        <v>8500</v>
      </c>
      <c r="G49" s="7" t="n">
        <v>85000</v>
      </c>
      <c r="H49" s="14" t="inlineStr">
        <is>
          <t>Paid</t>
        </is>
      </c>
    </row>
    <row r="50">
      <c r="A50" s="9" t="inlineStr">
        <is>
          <t>TXN1128</t>
        </is>
      </c>
      <c r="B50" s="10" t="n">
        <v>45324</v>
      </c>
      <c r="C50" s="11" t="inlineStr">
        <is>
          <t>Kappa Inc</t>
        </is>
      </c>
      <c r="D50" s="11" t="inlineStr">
        <is>
          <t>Webcam</t>
        </is>
      </c>
      <c r="E50" s="12" t="n">
        <v>7</v>
      </c>
      <c r="F50" s="13" t="n">
        <v>4500</v>
      </c>
      <c r="G50" s="13" t="n">
        <v>31500</v>
      </c>
      <c r="H50" s="16" t="inlineStr">
        <is>
          <t>Pending</t>
        </is>
      </c>
    </row>
    <row r="51">
      <c r="A51" s="17" t="inlineStr">
        <is>
          <t>TXN1001</t>
        </is>
      </c>
      <c r="B51" s="4" t="n">
        <v>45454</v>
      </c>
      <c r="C51" s="5" t="inlineStr">
        <is>
          <t>Lambda Co</t>
        </is>
      </c>
      <c r="D51" s="5" t="inlineStr">
        <is>
          <t>Tablet</t>
        </is>
      </c>
      <c r="E51" s="6" t="n">
        <v>4</v>
      </c>
      <c r="F51" s="7" t="n">
        <v>32000</v>
      </c>
      <c r="G51" s="7" t="n">
        <v>128000</v>
      </c>
      <c r="H51" s="14" t="inlineStr">
        <is>
          <t>Paid</t>
        </is>
      </c>
    </row>
    <row r="52">
      <c r="A52" s="9" t="inlineStr">
        <is>
          <t>TXN1130</t>
        </is>
      </c>
      <c r="B52" s="10" t="n">
        <v>45625</v>
      </c>
      <c r="C52" s="11" t="inlineStr">
        <is>
          <t>Beta Ltd</t>
        </is>
      </c>
      <c r="D52" s="11" t="inlineStr">
        <is>
          <t>Printer</t>
        </is>
      </c>
      <c r="E52" s="12" t="n">
        <v>17</v>
      </c>
      <c r="F52" s="13" t="n">
        <v>18000</v>
      </c>
      <c r="G52" s="13" t="n">
        <v>306000</v>
      </c>
      <c r="H52" s="14" t="inlineStr">
        <is>
          <t>Paid</t>
        </is>
      </c>
    </row>
    <row r="53">
      <c r="A53" s="3" t="inlineStr">
        <is>
          <t>TXN1131</t>
        </is>
      </c>
      <c r="B53" s="4" t="n">
        <v>45640</v>
      </c>
      <c r="C53" s="5" t="inlineStr">
        <is>
          <t>Lambda Co</t>
        </is>
      </c>
      <c r="D53" s="5" t="inlineStr">
        <is>
          <t>Printer</t>
        </is>
      </c>
      <c r="E53" s="6" t="n">
        <v>16</v>
      </c>
      <c r="F53" s="7" t="n">
        <v>18000</v>
      </c>
      <c r="G53" s="15" t="n">
        <v>172800</v>
      </c>
      <c r="H53" s="17" t="inlineStr">
        <is>
          <t>Failed</t>
        </is>
      </c>
    </row>
    <row r="54">
      <c r="A54" s="9" t="inlineStr">
        <is>
          <t>TXN1132</t>
        </is>
      </c>
      <c r="B54" s="10" t="n">
        <v>45497</v>
      </c>
      <c r="C54" s="11" t="inlineStr">
        <is>
          <t>Beta Ltd</t>
        </is>
      </c>
      <c r="D54" s="18" t="inlineStr">
        <is>
          <t>[BLANK]</t>
        </is>
      </c>
      <c r="E54" s="12" t="n">
        <v>8</v>
      </c>
      <c r="F54" s="13" t="n">
        <v>5000</v>
      </c>
      <c r="G54" s="13" t="n">
        <v>40000</v>
      </c>
      <c r="H54" s="14" t="inlineStr">
        <is>
          <t>Paid</t>
        </is>
      </c>
    </row>
    <row r="55">
      <c r="A55" s="3" t="inlineStr">
        <is>
          <t>TXN1133</t>
        </is>
      </c>
      <c r="B55" s="4" t="n">
        <v>45316</v>
      </c>
      <c r="C55" s="5" t="inlineStr">
        <is>
          <t>Lambda Co</t>
        </is>
      </c>
      <c r="D55" s="5" t="inlineStr">
        <is>
          <t>Tablet</t>
        </is>
      </c>
      <c r="E55" s="6" t="n">
        <v>2</v>
      </c>
      <c r="F55" s="7" t="n">
        <v>32000</v>
      </c>
      <c r="G55" s="7" t="n">
        <v>64000</v>
      </c>
      <c r="H55" s="14" t="inlineStr">
        <is>
          <t>Paid</t>
        </is>
      </c>
    </row>
    <row r="56">
      <c r="A56" s="17" t="inlineStr">
        <is>
          <t>TXN1010</t>
        </is>
      </c>
      <c r="B56" s="10" t="n">
        <v>45652</v>
      </c>
      <c r="C56" s="11" t="inlineStr">
        <is>
          <t>Kappa Inc</t>
        </is>
      </c>
      <c r="D56" s="11" t="inlineStr">
        <is>
          <t>Tablet</t>
        </is>
      </c>
      <c r="E56" s="12" t="n">
        <v>14</v>
      </c>
      <c r="F56" s="13" t="n">
        <v>32000</v>
      </c>
      <c r="G56" s="13" t="n">
        <v>448000</v>
      </c>
      <c r="H56" s="8" t="inlineStr">
        <is>
          <t>Refunded</t>
        </is>
      </c>
    </row>
    <row r="57">
      <c r="A57" s="3" t="inlineStr">
        <is>
          <t>TXN1135</t>
        </is>
      </c>
      <c r="B57" s="4" t="n">
        <v>45413</v>
      </c>
      <c r="C57" s="5" t="inlineStr">
        <is>
          <t>Eta Partners</t>
        </is>
      </c>
      <c r="D57" s="5" t="inlineStr">
        <is>
          <t>Tablet</t>
        </is>
      </c>
      <c r="E57" s="6" t="n">
        <v>11</v>
      </c>
      <c r="F57" s="7" t="n">
        <v>32000</v>
      </c>
      <c r="G57" s="7" t="n">
        <v>352000</v>
      </c>
      <c r="H57" s="8" t="inlineStr">
        <is>
          <t>Refunded</t>
        </is>
      </c>
    </row>
    <row r="58">
      <c r="A58" s="9" t="inlineStr">
        <is>
          <t>TXN1136</t>
        </is>
      </c>
      <c r="B58" s="10" t="n">
        <v>45408</v>
      </c>
      <c r="C58" s="11" t="inlineStr">
        <is>
          <t>Lambda Co</t>
        </is>
      </c>
      <c r="D58" s="11" t="inlineStr">
        <is>
          <t>Monitor</t>
        </is>
      </c>
      <c r="E58" s="12" t="n">
        <v>2</v>
      </c>
      <c r="F58" s="20" t="n">
        <v>0</v>
      </c>
      <c r="G58" s="13" t="n">
        <v>0</v>
      </c>
      <c r="H58" s="8" t="inlineStr">
        <is>
          <t>Refunded</t>
        </is>
      </c>
    </row>
    <row r="59">
      <c r="A59" s="3" t="inlineStr">
        <is>
          <t>TXN1137</t>
        </is>
      </c>
      <c r="B59" s="4" t="n">
        <v>45380</v>
      </c>
      <c r="C59" s="18" t="inlineStr">
        <is>
          <t>[BLANK]</t>
        </is>
      </c>
      <c r="D59" s="5" t="inlineStr">
        <is>
          <t>Printer</t>
        </is>
      </c>
      <c r="E59" s="6" t="n">
        <v>12</v>
      </c>
      <c r="F59" s="7" t="n">
        <v>18000</v>
      </c>
      <c r="G59" s="7" t="n">
        <v>216000</v>
      </c>
      <c r="H59" s="14" t="inlineStr">
        <is>
          <t>Paid</t>
        </is>
      </c>
    </row>
    <row r="60">
      <c r="A60" s="9" t="inlineStr">
        <is>
          <t>TXN1138</t>
        </is>
      </c>
      <c r="B60" s="10" t="n">
        <v>45522</v>
      </c>
      <c r="C60" s="11" t="inlineStr">
        <is>
          <t>Lambda Co</t>
        </is>
      </c>
      <c r="D60" s="11" t="inlineStr">
        <is>
          <t>USB Hub</t>
        </is>
      </c>
      <c r="E60" s="12" t="n">
        <v>20</v>
      </c>
      <c r="F60" s="13" t="n">
        <v>2200</v>
      </c>
      <c r="G60" s="13" t="n">
        <v>44000</v>
      </c>
      <c r="H60" s="16" t="inlineStr">
        <is>
          <t>Pending</t>
        </is>
      </c>
    </row>
    <row r="61">
      <c r="A61" s="17" t="inlineStr">
        <is>
          <t>TXN1005</t>
        </is>
      </c>
      <c r="B61" s="4" t="n">
        <v>45538</v>
      </c>
      <c r="C61" s="5" t="inlineStr">
        <is>
          <t>Omicron Ltd</t>
        </is>
      </c>
      <c r="D61" s="5" t="inlineStr">
        <is>
          <t>Printer</t>
        </is>
      </c>
      <c r="E61" s="6" t="n">
        <v>13</v>
      </c>
      <c r="F61" s="7" t="n">
        <v>18000</v>
      </c>
      <c r="G61" s="15" t="n">
        <v>351000</v>
      </c>
      <c r="H61" s="17" t="inlineStr">
        <is>
          <t>Failed</t>
        </is>
      </c>
    </row>
    <row r="62">
      <c r="A62" s="9" t="inlineStr">
        <is>
          <t>TXN1140</t>
        </is>
      </c>
      <c r="B62" s="10" t="n">
        <v>45560</v>
      </c>
      <c r="C62" s="11" t="inlineStr">
        <is>
          <t>Mu Holdings</t>
        </is>
      </c>
      <c r="D62" s="11" t="inlineStr">
        <is>
          <t>Laptop</t>
        </is>
      </c>
      <c r="E62" s="12" t="n">
        <v>6</v>
      </c>
      <c r="F62" s="13" t="n">
        <v>85000</v>
      </c>
      <c r="G62" s="13" t="n">
        <v>510000</v>
      </c>
      <c r="H62" s="16" t="inlineStr">
        <is>
          <t>Pending</t>
        </is>
      </c>
    </row>
    <row r="63">
      <c r="A63" s="3" t="inlineStr">
        <is>
          <t>TXN1141</t>
        </is>
      </c>
      <c r="B63" s="4" t="n">
        <v>45395</v>
      </c>
      <c r="C63" s="5" t="inlineStr">
        <is>
          <t xml:space="preserve">  Epsilon LLC  </t>
        </is>
      </c>
      <c r="D63" s="5" t="inlineStr">
        <is>
          <t>Tablet</t>
        </is>
      </c>
      <c r="E63" s="6" t="n">
        <v>5</v>
      </c>
      <c r="F63" s="7" t="n">
        <v>32000</v>
      </c>
      <c r="G63" s="7" t="n">
        <v>160000</v>
      </c>
      <c r="H63" s="14" t="inlineStr">
        <is>
          <t>Paid</t>
        </is>
      </c>
    </row>
    <row r="64">
      <c r="A64" s="9" t="inlineStr">
        <is>
          <t>TXN1142</t>
        </is>
      </c>
      <c r="B64" s="17" t="inlineStr"/>
      <c r="C64" s="11" t="inlineStr">
        <is>
          <t>Iota Ltd</t>
        </is>
      </c>
      <c r="D64" s="11" t="inlineStr">
        <is>
          <t>Keyboard</t>
        </is>
      </c>
      <c r="E64" s="12" t="n">
        <v>3</v>
      </c>
      <c r="F64" s="13" t="n">
        <v>3500</v>
      </c>
      <c r="G64" s="13" t="n">
        <v>10500</v>
      </c>
      <c r="H64" s="16" t="inlineStr">
        <is>
          <t>Pending</t>
        </is>
      </c>
    </row>
    <row r="65">
      <c r="A65" s="3" t="inlineStr">
        <is>
          <t>TXN1143</t>
        </is>
      </c>
      <c r="B65" s="4" t="n">
        <v>45609</v>
      </c>
      <c r="C65" s="5" t="inlineStr">
        <is>
          <t>Eta Partners</t>
        </is>
      </c>
      <c r="D65" s="5" t="inlineStr">
        <is>
          <t>Printer</t>
        </is>
      </c>
      <c r="E65" s="6" t="n">
        <v>4</v>
      </c>
      <c r="F65" s="7" t="n">
        <v>18000</v>
      </c>
      <c r="G65" s="7" t="n">
        <v>72000</v>
      </c>
      <c r="H65" s="14" t="inlineStr">
        <is>
          <t>Paid</t>
        </is>
      </c>
    </row>
    <row r="66">
      <c r="A66" s="9" t="inlineStr">
        <is>
          <t>TXN1015</t>
        </is>
      </c>
      <c r="B66" s="10" t="n">
        <v>45397</v>
      </c>
      <c r="C66" s="11" t="inlineStr">
        <is>
          <t>Lambda Co</t>
        </is>
      </c>
      <c r="D66" s="11" t="inlineStr">
        <is>
          <t>Webcam</t>
        </is>
      </c>
      <c r="E66" s="12" t="n">
        <v>12</v>
      </c>
      <c r="F66" s="13" t="n">
        <v>4500</v>
      </c>
      <c r="G66" s="13" t="n">
        <v>54000</v>
      </c>
      <c r="H66" s="14" t="inlineStr">
        <is>
          <t>Paid</t>
        </is>
      </c>
    </row>
    <row r="67">
      <c r="A67" s="3" t="inlineStr">
        <is>
          <t>TXN1145</t>
        </is>
      </c>
      <c r="B67" s="4" t="n">
        <v>45425</v>
      </c>
      <c r="C67" s="5" t="inlineStr">
        <is>
          <t>Beta Ltd</t>
        </is>
      </c>
      <c r="D67" s="5" t="inlineStr">
        <is>
          <t>Laptop</t>
        </is>
      </c>
      <c r="E67" s="6" t="n">
        <v>11</v>
      </c>
      <c r="F67" s="7" t="n">
        <v>85000</v>
      </c>
      <c r="G67" s="7" t="n">
        <v>935000</v>
      </c>
      <c r="H67" s="16" t="inlineStr">
        <is>
          <t>Pending</t>
        </is>
      </c>
    </row>
    <row r="68">
      <c r="A68" s="9" t="inlineStr">
        <is>
          <t>TXN1146</t>
        </is>
      </c>
      <c r="B68" s="10" t="n">
        <v>45370</v>
      </c>
      <c r="C68" s="11" t="inlineStr">
        <is>
          <t>Omicron Ltd</t>
        </is>
      </c>
      <c r="D68" s="11" t="inlineStr">
        <is>
          <t>Scanner</t>
        </is>
      </c>
      <c r="E68" s="12" t="n">
        <v>7</v>
      </c>
      <c r="F68" s="13" t="n">
        <v>12000</v>
      </c>
      <c r="G68" s="13" t="n">
        <v>84000</v>
      </c>
      <c r="H68" s="14" t="inlineStr">
        <is>
          <t>Paid</t>
        </is>
      </c>
    </row>
    <row r="69">
      <c r="A69" s="3" t="inlineStr">
        <is>
          <t>TXN1147</t>
        </is>
      </c>
      <c r="B69" s="4" t="n">
        <v>45598</v>
      </c>
      <c r="C69" s="18" t="inlineStr">
        <is>
          <t>[BLANK]</t>
        </is>
      </c>
      <c r="D69" s="5" t="inlineStr">
        <is>
          <t>Headphones</t>
        </is>
      </c>
      <c r="E69" s="6" t="n">
        <v>13</v>
      </c>
      <c r="F69" s="7" t="n">
        <v>8500</v>
      </c>
      <c r="G69" s="15" t="n">
        <v>93925</v>
      </c>
      <c r="H69" s="17" t="inlineStr">
        <is>
          <t>Failed</t>
        </is>
      </c>
    </row>
    <row r="70">
      <c r="A70" s="9" t="inlineStr">
        <is>
          <t>TXN1148</t>
        </is>
      </c>
      <c r="B70" s="10" t="n">
        <v>45531</v>
      </c>
      <c r="C70" s="11" t="inlineStr">
        <is>
          <t>Eta Partners</t>
        </is>
      </c>
      <c r="D70" s="11" t="inlineStr">
        <is>
          <t>Tablet</t>
        </is>
      </c>
      <c r="E70" s="12" t="n">
        <v>15</v>
      </c>
      <c r="F70" s="13" t="n">
        <v>32000</v>
      </c>
      <c r="G70" s="13" t="n">
        <v>480000</v>
      </c>
      <c r="H70" s="16" t="inlineStr">
        <is>
          <t>Pending</t>
        </is>
      </c>
    </row>
    <row r="71">
      <c r="A71" s="17" t="inlineStr">
        <is>
          <t>TXN1005</t>
        </is>
      </c>
      <c r="B71" s="4" t="n">
        <v>45633</v>
      </c>
      <c r="C71" s="5" t="inlineStr">
        <is>
          <t>Eta Partners</t>
        </is>
      </c>
      <c r="D71" s="5" t="inlineStr">
        <is>
          <t>USB Hub</t>
        </is>
      </c>
      <c r="E71" s="6" t="n">
        <v>9</v>
      </c>
      <c r="F71" s="7" t="n">
        <v>2200</v>
      </c>
      <c r="G71" s="7" t="n">
        <v>19800</v>
      </c>
      <c r="H71" s="14" t="inlineStr">
        <is>
          <t>Paid</t>
        </is>
      </c>
    </row>
    <row r="72">
      <c r="A72" s="9" t="inlineStr">
        <is>
          <t>TXN1150</t>
        </is>
      </c>
      <c r="B72" s="10" t="n">
        <v>45388</v>
      </c>
      <c r="C72" s="11" t="inlineStr">
        <is>
          <t>Delta Co</t>
        </is>
      </c>
      <c r="D72" s="11" t="inlineStr">
        <is>
          <t>Laptop</t>
        </is>
      </c>
      <c r="E72" s="12" t="n">
        <v>12</v>
      </c>
      <c r="F72" s="13" t="n">
        <v>85000</v>
      </c>
      <c r="G72" s="13" t="n">
        <v>1020000</v>
      </c>
      <c r="H72" s="16" t="inlineStr">
        <is>
          <t>Pending</t>
        </is>
      </c>
    </row>
    <row r="73">
      <c r="A73" s="3" t="inlineStr">
        <is>
          <t>TXN1151</t>
        </is>
      </c>
      <c r="B73" s="4" t="n">
        <v>45301</v>
      </c>
      <c r="C73" s="5" t="inlineStr">
        <is>
          <t>Beta Ltd</t>
        </is>
      </c>
      <c r="D73" s="5" t="inlineStr">
        <is>
          <t>Scanner</t>
        </is>
      </c>
      <c r="E73" s="6" t="n">
        <v>19</v>
      </c>
      <c r="F73" s="7" t="n">
        <v>12000</v>
      </c>
      <c r="G73" s="7" t="n">
        <v>228000</v>
      </c>
      <c r="H73" s="14" t="inlineStr">
        <is>
          <t>Paid</t>
        </is>
      </c>
    </row>
    <row r="74">
      <c r="A74" s="9" t="inlineStr">
        <is>
          <t>TXN1152</t>
        </is>
      </c>
      <c r="B74" s="10" t="n">
        <v>45495</v>
      </c>
      <c r="C74" s="11" t="inlineStr">
        <is>
          <t>Kappa Inc</t>
        </is>
      </c>
      <c r="D74" s="18" t="inlineStr">
        <is>
          <t>[BLANK]</t>
        </is>
      </c>
      <c r="E74" s="12" t="n">
        <v>15</v>
      </c>
      <c r="F74" s="13" t="n">
        <v>5000</v>
      </c>
      <c r="G74" s="13" t="n">
        <v>75000</v>
      </c>
      <c r="H74" s="8" t="inlineStr">
        <is>
          <t>Refunded</t>
        </is>
      </c>
    </row>
    <row r="75">
      <c r="A75" s="3" t="inlineStr">
        <is>
          <t>TXN1153</t>
        </is>
      </c>
      <c r="B75" s="4" t="n">
        <v>45414</v>
      </c>
      <c r="C75" s="5" t="inlineStr">
        <is>
          <t>Acme Corp</t>
        </is>
      </c>
      <c r="D75" s="5" t="inlineStr">
        <is>
          <t>Scanner</t>
        </is>
      </c>
      <c r="E75" s="6" t="n">
        <v>5</v>
      </c>
      <c r="F75" s="7" t="n">
        <v>12000</v>
      </c>
      <c r="G75" s="7" t="n">
        <v>60000</v>
      </c>
      <c r="H75" s="14" t="inlineStr">
        <is>
          <t>Paid</t>
        </is>
      </c>
    </row>
    <row r="76">
      <c r="A76" s="17" t="inlineStr">
        <is>
          <t>TXN1010</t>
        </is>
      </c>
      <c r="B76" s="10" t="n">
        <v>45389</v>
      </c>
      <c r="C76" s="11" t="inlineStr">
        <is>
          <t>Theta Corp</t>
        </is>
      </c>
      <c r="D76" s="11" t="inlineStr">
        <is>
          <t>Webcam</t>
        </is>
      </c>
      <c r="E76" s="12" t="n">
        <v>1</v>
      </c>
      <c r="F76" s="13" t="n">
        <v>4500</v>
      </c>
      <c r="G76" s="13" t="n">
        <v>4500</v>
      </c>
      <c r="H76" s="16" t="inlineStr">
        <is>
          <t>Pending</t>
        </is>
      </c>
    </row>
    <row r="77">
      <c r="A77" s="3" t="inlineStr">
        <is>
          <t>TXN1155</t>
        </is>
      </c>
      <c r="B77" s="4" t="n">
        <v>45377</v>
      </c>
      <c r="C77" s="5" t="inlineStr">
        <is>
          <t>Gamma Inc</t>
        </is>
      </c>
      <c r="D77" s="5" t="inlineStr">
        <is>
          <t>USB Hub</t>
        </is>
      </c>
      <c r="E77" s="6" t="n">
        <v>14</v>
      </c>
      <c r="F77" s="7" t="n">
        <v>2200</v>
      </c>
      <c r="G77" s="15" t="n">
        <v>18480</v>
      </c>
      <c r="H77" s="14" t="inlineStr">
        <is>
          <t>Paid</t>
        </is>
      </c>
    </row>
    <row r="78">
      <c r="A78" s="9" t="inlineStr">
        <is>
          <t>TXN1156</t>
        </is>
      </c>
      <c r="B78" s="10" t="n">
        <v>45450</v>
      </c>
      <c r="C78" s="11" t="inlineStr">
        <is>
          <t>Delta Co</t>
        </is>
      </c>
      <c r="D78" s="11" t="inlineStr">
        <is>
          <t>Tablet</t>
        </is>
      </c>
      <c r="E78" s="12" t="n">
        <v>13</v>
      </c>
      <c r="F78" s="13" t="n">
        <v>32000</v>
      </c>
      <c r="G78" s="13" t="n">
        <v>416000</v>
      </c>
      <c r="H78" s="14" t="inlineStr">
        <is>
          <t>Paid</t>
        </is>
      </c>
    </row>
    <row r="79">
      <c r="A79" s="3" t="inlineStr">
        <is>
          <t>TXN1157</t>
        </is>
      </c>
      <c r="B79" s="4" t="n">
        <v>45407</v>
      </c>
      <c r="C79" s="18" t="inlineStr">
        <is>
          <t>[BLANK]</t>
        </is>
      </c>
      <c r="D79" s="5" t="inlineStr">
        <is>
          <t>USB Hub</t>
        </is>
      </c>
      <c r="E79" s="6" t="n">
        <v>19</v>
      </c>
      <c r="F79" s="7" t="n">
        <v>2200</v>
      </c>
      <c r="G79" s="7" t="n">
        <v>41800</v>
      </c>
      <c r="H79" s="8" t="inlineStr">
        <is>
          <t>Refunded</t>
        </is>
      </c>
    </row>
    <row r="80">
      <c r="A80" s="9" t="inlineStr">
        <is>
          <t>TXN1158</t>
        </is>
      </c>
      <c r="B80" s="10" t="n">
        <v>45301</v>
      </c>
      <c r="C80" s="11" t="inlineStr">
        <is>
          <t>Lambda Co</t>
        </is>
      </c>
      <c r="D80" s="11" t="inlineStr">
        <is>
          <t>USB Hub</t>
        </is>
      </c>
      <c r="E80" s="19" t="n">
        <v>-3</v>
      </c>
      <c r="F80" s="13" t="n">
        <v>2200</v>
      </c>
      <c r="G80" s="13" t="n">
        <v>-6600</v>
      </c>
      <c r="H80" s="14" t="inlineStr">
        <is>
          <t>Paid</t>
        </is>
      </c>
    </row>
    <row r="81">
      <c r="A81" s="3" t="inlineStr">
        <is>
          <t>TXN1159</t>
        </is>
      </c>
      <c r="B81" s="4" t="n">
        <v>45515</v>
      </c>
      <c r="C81" s="5" t="inlineStr">
        <is>
          <t>Omicron Ltd</t>
        </is>
      </c>
      <c r="D81" s="5" t="inlineStr">
        <is>
          <t>Mouse</t>
        </is>
      </c>
      <c r="E81" s="6" t="n">
        <v>5</v>
      </c>
      <c r="F81" s="7" t="n">
        <v>1200</v>
      </c>
      <c r="G81" s="7" t="n">
        <v>6000</v>
      </c>
      <c r="H81" s="14" t="inlineStr">
        <is>
          <t>Paid</t>
        </is>
      </c>
    </row>
    <row r="82">
      <c r="A82" s="9" t="inlineStr">
        <is>
          <t>TXN1160</t>
        </is>
      </c>
      <c r="B82" s="10" t="n">
        <v>45546</v>
      </c>
      <c r="C82" s="11" t="inlineStr">
        <is>
          <t>Xi Corp</t>
        </is>
      </c>
      <c r="D82" s="11" t="inlineStr">
        <is>
          <t>Scanner</t>
        </is>
      </c>
      <c r="E82" s="12" t="n">
        <v>20</v>
      </c>
      <c r="F82" s="13" t="n">
        <v>12000</v>
      </c>
      <c r="G82" s="13" t="n">
        <v>240000</v>
      </c>
      <c r="H82" s="8" t="inlineStr">
        <is>
          <t>Refunded</t>
        </is>
      </c>
    </row>
    <row r="83">
      <c r="A83" s="3" t="inlineStr">
        <is>
          <t>TXN1161</t>
        </is>
      </c>
      <c r="B83" s="4" t="n">
        <v>45533</v>
      </c>
      <c r="C83" s="5" t="inlineStr">
        <is>
          <t>Lambda Co</t>
        </is>
      </c>
      <c r="D83" s="5" t="inlineStr">
        <is>
          <t>Webcam</t>
        </is>
      </c>
      <c r="E83" s="6" t="n">
        <v>5</v>
      </c>
      <c r="F83" s="7" t="n">
        <v>4500</v>
      </c>
      <c r="G83" s="7" t="n">
        <v>22500</v>
      </c>
      <c r="H83" s="16" t="inlineStr">
        <is>
          <t>Pending</t>
        </is>
      </c>
    </row>
    <row r="84">
      <c r="A84" s="9" t="inlineStr">
        <is>
          <t>TXN1162</t>
        </is>
      </c>
      <c r="B84" s="17" t="inlineStr"/>
      <c r="C84" s="11" t="inlineStr">
        <is>
          <t>Gamma Inc</t>
        </is>
      </c>
      <c r="D84" s="11" t="inlineStr">
        <is>
          <t>Webcam</t>
        </is>
      </c>
      <c r="E84" s="12" t="n">
        <v>10</v>
      </c>
      <c r="F84" s="13" t="n">
        <v>4500</v>
      </c>
      <c r="G84" s="13" t="n">
        <v>45000</v>
      </c>
      <c r="H84" s="16" t="inlineStr">
        <is>
          <t>Pending</t>
        </is>
      </c>
    </row>
    <row r="85">
      <c r="A85" s="3" t="inlineStr">
        <is>
          <t>TXN1163</t>
        </is>
      </c>
      <c r="B85" s="4" t="n">
        <v>45619</v>
      </c>
      <c r="C85" s="5" t="inlineStr">
        <is>
          <t>Lambda Co</t>
        </is>
      </c>
      <c r="D85" s="5" t="inlineStr">
        <is>
          <t>Laptop</t>
        </is>
      </c>
      <c r="E85" s="6" t="n">
        <v>3</v>
      </c>
      <c r="F85" s="7" t="n">
        <v>85000</v>
      </c>
      <c r="G85" s="15" t="n">
        <v>318750</v>
      </c>
      <c r="H85" s="14" t="inlineStr">
        <is>
          <t>Paid</t>
        </is>
      </c>
    </row>
    <row r="86">
      <c r="A86" s="9" t="inlineStr">
        <is>
          <t>TXN1164</t>
        </is>
      </c>
      <c r="B86" s="10" t="n">
        <v>45387</v>
      </c>
      <c r="C86" s="11" t="inlineStr">
        <is>
          <t>Iota Ltd</t>
        </is>
      </c>
      <c r="D86" s="11" t="inlineStr">
        <is>
          <t>Monitor</t>
        </is>
      </c>
      <c r="E86" s="12" t="n">
        <v>7</v>
      </c>
      <c r="F86" s="13" t="n">
        <v>22000</v>
      </c>
      <c r="G86" s="13" t="n">
        <v>154000</v>
      </c>
      <c r="H86" s="16" t="inlineStr">
        <is>
          <t>Pending</t>
        </is>
      </c>
    </row>
    <row r="87">
      <c r="A87" s="3" t="inlineStr">
        <is>
          <t>TXN1165</t>
        </is>
      </c>
      <c r="B87" s="4" t="n">
        <v>45430</v>
      </c>
      <c r="C87" s="5" t="inlineStr">
        <is>
          <t>Zeta Group</t>
        </is>
      </c>
      <c r="D87" s="5" t="inlineStr">
        <is>
          <t>Laptop</t>
        </is>
      </c>
      <c r="E87" s="6" t="n">
        <v>6</v>
      </c>
      <c r="F87" s="7" t="n">
        <v>85000</v>
      </c>
      <c r="G87" s="7" t="n">
        <v>510000</v>
      </c>
      <c r="H87" s="14" t="inlineStr">
        <is>
          <t>Paid</t>
        </is>
      </c>
    </row>
    <row r="88">
      <c r="A88" s="9" t="inlineStr">
        <is>
          <t>TXN1166</t>
        </is>
      </c>
      <c r="B88" s="10" t="n">
        <v>45591</v>
      </c>
      <c r="C88" s="11" t="inlineStr">
        <is>
          <t>Theta Corp</t>
        </is>
      </c>
      <c r="D88" s="11" t="inlineStr">
        <is>
          <t>Headphones</t>
        </is>
      </c>
      <c r="E88" s="12" t="n">
        <v>13</v>
      </c>
      <c r="F88" s="13" t="n">
        <v>8500</v>
      </c>
      <c r="G88" s="13" t="n">
        <v>110500</v>
      </c>
      <c r="H88" s="14" t="inlineStr">
        <is>
          <t>Paid</t>
        </is>
      </c>
    </row>
    <row r="89">
      <c r="A89" s="3" t="inlineStr">
        <is>
          <t>TXN1167</t>
        </is>
      </c>
      <c r="B89" s="4" t="n">
        <v>45308</v>
      </c>
      <c r="C89" s="18" t="inlineStr">
        <is>
          <t>[BLANK]</t>
        </is>
      </c>
      <c r="D89" s="5" t="inlineStr">
        <is>
          <t>Monitor</t>
        </is>
      </c>
      <c r="E89" s="6" t="n">
        <v>8</v>
      </c>
      <c r="F89" s="7" t="n">
        <v>22000</v>
      </c>
      <c r="G89" s="7" t="n">
        <v>176000</v>
      </c>
      <c r="H89" s="16" t="inlineStr">
        <is>
          <t>Pending</t>
        </is>
      </c>
    </row>
    <row r="90">
      <c r="A90" s="9" t="inlineStr">
        <is>
          <t>TXN1168</t>
        </is>
      </c>
      <c r="B90" s="10" t="n">
        <v>45567</v>
      </c>
      <c r="C90" s="11" t="inlineStr">
        <is>
          <t>Epsilon LLC</t>
        </is>
      </c>
      <c r="D90" s="11" t="inlineStr">
        <is>
          <t>Tablet</t>
        </is>
      </c>
      <c r="E90" s="12" t="n">
        <v>7</v>
      </c>
      <c r="F90" s="13" t="n">
        <v>32000</v>
      </c>
      <c r="G90" s="13" t="n">
        <v>224000</v>
      </c>
      <c r="H90" s="14" t="inlineStr">
        <is>
          <t>Paid</t>
        </is>
      </c>
    </row>
    <row r="91">
      <c r="A91" s="3" t="inlineStr">
        <is>
          <t>TXN1169</t>
        </is>
      </c>
      <c r="B91" s="4" t="n">
        <v>45560</v>
      </c>
      <c r="C91" s="5" t="inlineStr">
        <is>
          <t>Eta Partners</t>
        </is>
      </c>
      <c r="D91" s="5" t="inlineStr">
        <is>
          <t>Monitor</t>
        </is>
      </c>
      <c r="E91" s="6" t="n">
        <v>11</v>
      </c>
      <c r="F91" s="20" t="n">
        <v>0</v>
      </c>
      <c r="G91" s="7" t="n">
        <v>0</v>
      </c>
      <c r="H91" s="14" t="inlineStr">
        <is>
          <t>Paid</t>
        </is>
      </c>
    </row>
    <row r="92">
      <c r="A92" s="9" t="inlineStr">
        <is>
          <t>TXN1170</t>
        </is>
      </c>
      <c r="B92" s="10" t="n">
        <v>45401</v>
      </c>
      <c r="C92" s="11" t="inlineStr">
        <is>
          <t xml:space="preserve">  Iota Ltd  </t>
        </is>
      </c>
      <c r="D92" s="11" t="inlineStr">
        <is>
          <t>Laptop</t>
        </is>
      </c>
      <c r="E92" s="12" t="n">
        <v>12</v>
      </c>
      <c r="F92" s="13" t="n">
        <v>85000</v>
      </c>
      <c r="G92" s="13" t="n">
        <v>1020000</v>
      </c>
      <c r="H92" s="14" t="inlineStr">
        <is>
          <t>Paid</t>
        </is>
      </c>
    </row>
    <row r="93">
      <c r="A93" s="3" t="inlineStr">
        <is>
          <t>TXN1171</t>
        </is>
      </c>
      <c r="B93" s="4" t="n">
        <v>45302</v>
      </c>
      <c r="C93" s="5" t="inlineStr">
        <is>
          <t>Mu Holdings</t>
        </is>
      </c>
      <c r="D93" s="5" t="inlineStr">
        <is>
          <t>Webcam</t>
        </is>
      </c>
      <c r="E93" s="6" t="n">
        <v>16</v>
      </c>
      <c r="F93" s="7" t="n">
        <v>4500</v>
      </c>
      <c r="G93" s="15" t="n">
        <v>144000</v>
      </c>
      <c r="H93" s="14" t="inlineStr">
        <is>
          <t>Paid</t>
        </is>
      </c>
    </row>
    <row r="94">
      <c r="A94" s="9" t="inlineStr">
        <is>
          <t>TXN1172</t>
        </is>
      </c>
      <c r="B94" s="10" t="n">
        <v>45518</v>
      </c>
      <c r="C94" s="11" t="inlineStr">
        <is>
          <t>Nu Ventures</t>
        </is>
      </c>
      <c r="D94" s="18" t="inlineStr">
        <is>
          <t>[BLANK]</t>
        </is>
      </c>
      <c r="E94" s="12" t="n">
        <v>1</v>
      </c>
      <c r="F94" s="13" t="n">
        <v>5000</v>
      </c>
      <c r="G94" s="13" t="n">
        <v>5000</v>
      </c>
      <c r="H94" s="16" t="inlineStr">
        <is>
          <t>Pending</t>
        </is>
      </c>
    </row>
    <row r="95">
      <c r="A95" s="3" t="inlineStr">
        <is>
          <t>TXN1173</t>
        </is>
      </c>
      <c r="B95" s="4" t="n">
        <v>45639</v>
      </c>
      <c r="C95" s="5" t="inlineStr">
        <is>
          <t>Acme Corp</t>
        </is>
      </c>
      <c r="D95" s="5" t="inlineStr">
        <is>
          <t>Mouse</t>
        </is>
      </c>
      <c r="E95" s="6" t="n">
        <v>20</v>
      </c>
      <c r="F95" s="7" t="n">
        <v>1200</v>
      </c>
      <c r="G95" s="7" t="n">
        <v>24000</v>
      </c>
      <c r="H95" s="14" t="inlineStr">
        <is>
          <t>Paid</t>
        </is>
      </c>
    </row>
    <row r="96">
      <c r="A96" s="9" t="inlineStr">
        <is>
          <t>TXN1174</t>
        </is>
      </c>
      <c r="B96" s="10" t="n">
        <v>45450</v>
      </c>
      <c r="C96" s="11" t="inlineStr">
        <is>
          <t>Eta Partners</t>
        </is>
      </c>
      <c r="D96" s="11" t="inlineStr">
        <is>
          <t>Mouse</t>
        </is>
      </c>
      <c r="E96" s="12" t="n">
        <v>15</v>
      </c>
      <c r="F96" s="13" t="n">
        <v>1200</v>
      </c>
      <c r="G96" s="13" t="n">
        <v>18000</v>
      </c>
      <c r="H96" s="16" t="inlineStr">
        <is>
          <t>Pending</t>
        </is>
      </c>
    </row>
    <row r="97">
      <c r="A97" s="3" t="inlineStr">
        <is>
          <t>TXN1175</t>
        </is>
      </c>
      <c r="B97" s="4" t="n">
        <v>45297</v>
      </c>
      <c r="C97" s="5" t="inlineStr">
        <is>
          <t>Omicron Ltd</t>
        </is>
      </c>
      <c r="D97" s="5" t="inlineStr">
        <is>
          <t>Webcam</t>
        </is>
      </c>
      <c r="E97" s="6" t="n">
        <v>6</v>
      </c>
      <c r="F97" s="7" t="n">
        <v>4500</v>
      </c>
      <c r="G97" s="7" t="n">
        <v>27000</v>
      </c>
      <c r="H97" s="16" t="inlineStr">
        <is>
          <t>Pending</t>
        </is>
      </c>
    </row>
    <row r="98">
      <c r="A98" s="9" t="inlineStr">
        <is>
          <t>TXN1176</t>
        </is>
      </c>
      <c r="B98" s="10" t="n">
        <v>45602</v>
      </c>
      <c r="C98" s="11" t="inlineStr">
        <is>
          <t>Acme Corp</t>
        </is>
      </c>
      <c r="D98" s="11" t="inlineStr">
        <is>
          <t>Tablet</t>
        </is>
      </c>
      <c r="E98" s="12" t="n">
        <v>6</v>
      </c>
      <c r="F98" s="13" t="n">
        <v>32000</v>
      </c>
      <c r="G98" s="13" t="n">
        <v>192000</v>
      </c>
      <c r="H98" s="14" t="inlineStr">
        <is>
          <t>Paid</t>
        </is>
      </c>
    </row>
    <row r="99">
      <c r="A99" s="3" t="inlineStr">
        <is>
          <t>TXN1177</t>
        </is>
      </c>
      <c r="B99" s="4" t="n">
        <v>45566</v>
      </c>
      <c r="C99" s="18" t="inlineStr">
        <is>
          <t>[BLANK]</t>
        </is>
      </c>
      <c r="D99" s="5" t="inlineStr">
        <is>
          <t>Scanner</t>
        </is>
      </c>
      <c r="E99" s="6" t="n">
        <v>14</v>
      </c>
      <c r="F99" s="7" t="n">
        <v>12000</v>
      </c>
      <c r="G99" s="7" t="n">
        <v>168000</v>
      </c>
      <c r="H99" s="14" t="inlineStr">
        <is>
          <t>Paid</t>
        </is>
      </c>
    </row>
    <row r="100">
      <c r="A100" s="9" t="inlineStr">
        <is>
          <t>TXN1178</t>
        </is>
      </c>
      <c r="B100" s="10" t="n">
        <v>45407</v>
      </c>
      <c r="C100" s="11" t="inlineStr">
        <is>
          <t>Iota Ltd</t>
        </is>
      </c>
      <c r="D100" s="11" t="inlineStr">
        <is>
          <t>Scanner</t>
        </is>
      </c>
      <c r="E100" s="12" t="n">
        <v>10</v>
      </c>
      <c r="F100" s="13" t="n">
        <v>12000</v>
      </c>
      <c r="G100" s="13" t="n">
        <v>120000</v>
      </c>
      <c r="H100" s="8" t="inlineStr">
        <is>
          <t>Refunded</t>
        </is>
      </c>
    </row>
    <row r="101">
      <c r="A101" s="3" t="inlineStr">
        <is>
          <t>TXN1179</t>
        </is>
      </c>
      <c r="B101" s="4" t="n">
        <v>45477</v>
      </c>
      <c r="C101" s="5" t="inlineStr">
        <is>
          <t>Omicron Ltd</t>
        </is>
      </c>
      <c r="D101" s="5" t="inlineStr">
        <is>
          <t>Monitor</t>
        </is>
      </c>
      <c r="E101" s="6" t="n">
        <v>8</v>
      </c>
      <c r="F101" s="7" t="n">
        <v>22000</v>
      </c>
      <c r="G101" s="15" t="n">
        <v>352000</v>
      </c>
      <c r="H101" s="14" t="inlineStr">
        <is>
          <t>Paid</t>
        </is>
      </c>
    </row>
    <row r="102">
      <c r="A102" s="9" t="inlineStr">
        <is>
          <t>TXN1180</t>
        </is>
      </c>
      <c r="B102" s="10" t="n">
        <v>45472</v>
      </c>
      <c r="C102" s="11" t="inlineStr">
        <is>
          <t>Iota Ltd</t>
        </is>
      </c>
      <c r="D102" s="11" t="inlineStr">
        <is>
          <t>Webcam</t>
        </is>
      </c>
      <c r="E102" s="12" t="n">
        <v>19</v>
      </c>
      <c r="F102" s="13" t="n">
        <v>4500</v>
      </c>
      <c r="G102" s="13" t="n">
        <v>85500</v>
      </c>
      <c r="H102" s="14" t="inlineStr">
        <is>
          <t>Paid</t>
        </is>
      </c>
    </row>
    <row r="103">
      <c r="A103" s="3" t="inlineStr">
        <is>
          <t>TXN1181</t>
        </is>
      </c>
      <c r="B103" s="4" t="n">
        <v>45305</v>
      </c>
      <c r="C103" s="5" t="inlineStr">
        <is>
          <t>Omicron Ltd</t>
        </is>
      </c>
      <c r="D103" s="5" t="inlineStr">
        <is>
          <t>Tablet</t>
        </is>
      </c>
      <c r="E103" s="6" t="n">
        <v>19</v>
      </c>
      <c r="F103" s="7" t="n">
        <v>32000</v>
      </c>
      <c r="G103" s="7" t="n">
        <v>608000</v>
      </c>
      <c r="H103" s="14" t="inlineStr">
        <is>
          <t>Paid</t>
        </is>
      </c>
    </row>
    <row r="104">
      <c r="A104" s="9" t="inlineStr">
        <is>
          <t>TXN1182</t>
        </is>
      </c>
      <c r="B104" s="17" t="inlineStr"/>
      <c r="C104" s="11" t="inlineStr">
        <is>
          <t>Lambda Co</t>
        </is>
      </c>
      <c r="D104" s="11" t="inlineStr">
        <is>
          <t>Mouse</t>
        </is>
      </c>
      <c r="E104" s="12" t="n">
        <v>4</v>
      </c>
      <c r="F104" s="13" t="n">
        <v>1200</v>
      </c>
      <c r="G104" s="13" t="n">
        <v>4800</v>
      </c>
      <c r="H104" s="14" t="inlineStr">
        <is>
          <t>Paid</t>
        </is>
      </c>
    </row>
    <row r="105">
      <c r="A105" s="3" t="inlineStr">
        <is>
          <t>TXN1183</t>
        </is>
      </c>
      <c r="B105" s="4" t="n">
        <v>45564</v>
      </c>
      <c r="C105" s="5" t="inlineStr">
        <is>
          <t>Iota Ltd</t>
        </is>
      </c>
      <c r="D105" s="5" t="inlineStr">
        <is>
          <t>Webcam</t>
        </is>
      </c>
      <c r="E105" s="6" t="n">
        <v>17</v>
      </c>
      <c r="F105" s="7" t="n">
        <v>4500</v>
      </c>
      <c r="G105" s="7" t="n">
        <v>76500</v>
      </c>
      <c r="H105" s="16" t="inlineStr">
        <is>
          <t>Pending</t>
        </is>
      </c>
    </row>
    <row r="106">
      <c r="A106" s="9" t="inlineStr">
        <is>
          <t>TXN1184</t>
        </is>
      </c>
      <c r="B106" s="10" t="n">
        <v>45354</v>
      </c>
      <c r="C106" s="11" t="inlineStr">
        <is>
          <t>Gamma Inc</t>
        </is>
      </c>
      <c r="D106" s="11" t="inlineStr">
        <is>
          <t>Mouse</t>
        </is>
      </c>
      <c r="E106" s="19" t="n">
        <v>-14</v>
      </c>
      <c r="F106" s="13" t="n">
        <v>1200</v>
      </c>
      <c r="G106" s="13" t="n">
        <v>-16800</v>
      </c>
      <c r="H106" s="8" t="inlineStr">
        <is>
          <t>Refunded</t>
        </is>
      </c>
    </row>
    <row r="107">
      <c r="A107" s="3" t="inlineStr">
        <is>
          <t>TXN1185</t>
        </is>
      </c>
      <c r="B107" s="4" t="n">
        <v>45545</v>
      </c>
      <c r="C107" s="5" t="inlineStr">
        <is>
          <t>Nu Ventures</t>
        </is>
      </c>
      <c r="D107" s="5" t="inlineStr">
        <is>
          <t>Mouse</t>
        </is>
      </c>
      <c r="E107" s="6" t="n">
        <v>7</v>
      </c>
      <c r="F107" s="7" t="n">
        <v>1200</v>
      </c>
      <c r="G107" s="7" t="n">
        <v>8400</v>
      </c>
      <c r="H107" s="16" t="inlineStr">
        <is>
          <t>Pending</t>
        </is>
      </c>
    </row>
    <row r="108">
      <c r="A108" s="9" t="inlineStr">
        <is>
          <t>TXN1186</t>
        </is>
      </c>
      <c r="B108" s="10" t="n">
        <v>45386</v>
      </c>
      <c r="C108" s="11" t="inlineStr">
        <is>
          <t>Eta Partners</t>
        </is>
      </c>
      <c r="D108" s="11" t="inlineStr">
        <is>
          <t>Tablet</t>
        </is>
      </c>
      <c r="E108" s="12" t="n">
        <v>8</v>
      </c>
      <c r="F108" s="13" t="n">
        <v>32000</v>
      </c>
      <c r="G108" s="15" t="n">
        <v>512000</v>
      </c>
      <c r="H108" s="8" t="inlineStr">
        <is>
          <t>Refunded</t>
        </is>
      </c>
    </row>
    <row r="109">
      <c r="A109" s="3" t="inlineStr">
        <is>
          <t>TXN1187</t>
        </is>
      </c>
      <c r="B109" s="4" t="n">
        <v>45427</v>
      </c>
      <c r="C109" s="18" t="inlineStr">
        <is>
          <t>[BLANK]</t>
        </is>
      </c>
      <c r="D109" s="5" t="inlineStr">
        <is>
          <t>Laptop</t>
        </is>
      </c>
      <c r="E109" s="6" t="n">
        <v>18</v>
      </c>
      <c r="F109" s="7" t="n">
        <v>85000</v>
      </c>
      <c r="G109" s="7" t="n">
        <v>1530000</v>
      </c>
      <c r="H109" s="8" t="inlineStr">
        <is>
          <t>Refunded</t>
        </is>
      </c>
    </row>
    <row r="110">
      <c r="A110" s="9" t="inlineStr">
        <is>
          <t>TXN1188</t>
        </is>
      </c>
      <c r="B110" s="10" t="n">
        <v>45397</v>
      </c>
      <c r="C110" s="11" t="inlineStr">
        <is>
          <t xml:space="preserve">  Acme Corp  </t>
        </is>
      </c>
      <c r="D110" s="11" t="inlineStr">
        <is>
          <t>Webcam</t>
        </is>
      </c>
      <c r="E110" s="12" t="n">
        <v>19</v>
      </c>
      <c r="F110" s="13" t="n">
        <v>4500</v>
      </c>
      <c r="G110" s="13" t="n">
        <v>85500</v>
      </c>
      <c r="H110" s="8" t="inlineStr">
        <is>
          <t>Refunded</t>
        </is>
      </c>
    </row>
    <row r="111">
      <c r="A111" s="3" t="inlineStr">
        <is>
          <t>TXN1189</t>
        </is>
      </c>
      <c r="B111" s="4" t="n">
        <v>45446</v>
      </c>
      <c r="C111" s="5" t="inlineStr">
        <is>
          <t>Mu Holdings</t>
        </is>
      </c>
      <c r="D111" s="5" t="inlineStr">
        <is>
          <t>Keyboard</t>
        </is>
      </c>
      <c r="E111" s="6" t="n">
        <v>8</v>
      </c>
      <c r="F111" s="7" t="n">
        <v>3500</v>
      </c>
      <c r="G111" s="7" t="n">
        <v>28000</v>
      </c>
      <c r="H111" s="14" t="inlineStr">
        <is>
          <t>Paid</t>
        </is>
      </c>
    </row>
    <row r="112">
      <c r="A112" s="9" t="inlineStr">
        <is>
          <t>TXN1190</t>
        </is>
      </c>
      <c r="B112" s="10" t="n">
        <v>45484</v>
      </c>
      <c r="C112" s="11" t="inlineStr">
        <is>
          <t>Gamma Inc</t>
        </is>
      </c>
      <c r="D112" s="11" t="inlineStr">
        <is>
          <t>Tablet</t>
        </is>
      </c>
      <c r="E112" s="12" t="n">
        <v>2</v>
      </c>
      <c r="F112" s="13" t="n">
        <v>32000</v>
      </c>
      <c r="G112" s="13" t="n">
        <v>64000</v>
      </c>
      <c r="H112" s="14" t="inlineStr">
        <is>
          <t>Paid</t>
        </is>
      </c>
    </row>
    <row r="113">
      <c r="A113" s="3" t="inlineStr">
        <is>
          <t>TXN1191</t>
        </is>
      </c>
      <c r="B113" s="4" t="n">
        <v>45632</v>
      </c>
      <c r="C113" s="5" t="inlineStr">
        <is>
          <t>Xi Corp</t>
        </is>
      </c>
      <c r="D113" s="5" t="inlineStr">
        <is>
          <t>USB Hub</t>
        </is>
      </c>
      <c r="E113" s="6" t="n">
        <v>10</v>
      </c>
      <c r="F113" s="7" t="n">
        <v>2200</v>
      </c>
      <c r="G113" s="7" t="n">
        <v>22000</v>
      </c>
      <c r="H113" s="8" t="inlineStr">
        <is>
          <t>Refunded</t>
        </is>
      </c>
    </row>
    <row r="114">
      <c r="A114" s="9" t="inlineStr">
        <is>
          <t>TXN1192</t>
        </is>
      </c>
      <c r="B114" s="10" t="n">
        <v>45392</v>
      </c>
      <c r="C114" s="11" t="inlineStr">
        <is>
          <t>Theta Corp</t>
        </is>
      </c>
      <c r="D114" s="18" t="inlineStr">
        <is>
          <t>[BLANK]</t>
        </is>
      </c>
      <c r="E114" s="12" t="n">
        <v>8</v>
      </c>
      <c r="F114" s="13" t="n">
        <v>5000</v>
      </c>
      <c r="G114" s="15" t="n">
        <v>50000</v>
      </c>
      <c r="H114" s="8" t="inlineStr">
        <is>
          <t>Refunded</t>
        </is>
      </c>
    </row>
    <row r="115">
      <c r="A115" s="3" t="inlineStr">
        <is>
          <t>TXN1193</t>
        </is>
      </c>
      <c r="B115" s="4" t="n">
        <v>45636</v>
      </c>
      <c r="C115" s="5" t="inlineStr">
        <is>
          <t>Acme Corp</t>
        </is>
      </c>
      <c r="D115" s="5" t="inlineStr">
        <is>
          <t>Laptop</t>
        </is>
      </c>
      <c r="E115" s="6" t="n">
        <v>12</v>
      </c>
      <c r="F115" s="7" t="n">
        <v>85000</v>
      </c>
      <c r="G115" s="7" t="n">
        <v>1020000</v>
      </c>
      <c r="H115" s="14" t="inlineStr">
        <is>
          <t>Paid</t>
        </is>
      </c>
    </row>
    <row r="116">
      <c r="A116" s="9" t="inlineStr">
        <is>
          <t>TXN1194</t>
        </is>
      </c>
      <c r="B116" s="10" t="n">
        <v>45547</v>
      </c>
      <c r="C116" s="11" t="inlineStr">
        <is>
          <t>Zeta Group</t>
        </is>
      </c>
      <c r="D116" s="11" t="inlineStr">
        <is>
          <t>Printer</t>
        </is>
      </c>
      <c r="E116" s="12" t="n">
        <v>12</v>
      </c>
      <c r="F116" s="13" t="n">
        <v>18000</v>
      </c>
      <c r="G116" s="13" t="n">
        <v>216000</v>
      </c>
      <c r="H116" s="17" t="inlineStr">
        <is>
          <t>Failed</t>
        </is>
      </c>
    </row>
    <row r="117">
      <c r="A117" s="3" t="inlineStr">
        <is>
          <t>TXN1195</t>
        </is>
      </c>
      <c r="B117" s="4" t="n">
        <v>45580</v>
      </c>
      <c r="C117" s="5" t="inlineStr">
        <is>
          <t>Lambda Co</t>
        </is>
      </c>
      <c r="D117" s="5" t="inlineStr">
        <is>
          <t>Printer</t>
        </is>
      </c>
      <c r="E117" s="6" t="n">
        <v>20</v>
      </c>
      <c r="F117" s="7" t="n">
        <v>18000</v>
      </c>
      <c r="G117" s="7" t="n">
        <v>360000</v>
      </c>
      <c r="H117" s="14" t="inlineStr">
        <is>
          <t>Paid</t>
        </is>
      </c>
    </row>
    <row r="118">
      <c r="A118" s="9" t="inlineStr">
        <is>
          <t>TXN1196</t>
        </is>
      </c>
      <c r="B118" s="10" t="n">
        <v>45423</v>
      </c>
      <c r="C118" s="11" t="inlineStr">
        <is>
          <t>Nu Ventures</t>
        </is>
      </c>
      <c r="D118" s="11" t="inlineStr">
        <is>
          <t>Monitor</t>
        </is>
      </c>
      <c r="E118" s="12" t="n">
        <v>12</v>
      </c>
      <c r="F118" s="13" t="n">
        <v>22000</v>
      </c>
      <c r="G118" s="15" t="n">
        <v>330000</v>
      </c>
      <c r="H118" s="16" t="inlineStr">
        <is>
          <t>Pending</t>
        </is>
      </c>
    </row>
    <row r="119">
      <c r="A119" s="3" t="inlineStr">
        <is>
          <t>TXN1197</t>
        </is>
      </c>
      <c r="B119" s="4" t="n">
        <v>45526</v>
      </c>
      <c r="C119" s="18" t="inlineStr">
        <is>
          <t>[BLANK]</t>
        </is>
      </c>
      <c r="D119" s="5" t="inlineStr">
        <is>
          <t>Monitor</t>
        </is>
      </c>
      <c r="E119" s="6" t="n">
        <v>7</v>
      </c>
      <c r="F119" s="7" t="n">
        <v>22000</v>
      </c>
      <c r="G119" s="7" t="n">
        <v>154000</v>
      </c>
      <c r="H119" s="16" t="inlineStr">
        <is>
          <t>Pending</t>
        </is>
      </c>
    </row>
    <row r="120">
      <c r="A120" s="9" t="inlineStr">
        <is>
          <t>TXN1198</t>
        </is>
      </c>
      <c r="B120" s="10" t="n">
        <v>45331</v>
      </c>
      <c r="C120" s="11" t="inlineStr">
        <is>
          <t>Mu Holdings</t>
        </is>
      </c>
      <c r="D120" s="11" t="inlineStr">
        <is>
          <t>Headphones</t>
        </is>
      </c>
      <c r="E120" s="12" t="n">
        <v>8</v>
      </c>
      <c r="F120" s="13" t="n">
        <v>8500</v>
      </c>
      <c r="G120" s="13" t="n">
        <v>68000</v>
      </c>
      <c r="H120" s="14" t="inlineStr">
        <is>
          <t>Paid</t>
        </is>
      </c>
    </row>
    <row r="121">
      <c r="A121" s="3" t="inlineStr">
        <is>
          <t>TXN1199</t>
        </is>
      </c>
      <c r="B121" s="4" t="n">
        <v>45366</v>
      </c>
      <c r="C121" s="5" t="inlineStr">
        <is>
          <t>Nu Ventures</t>
        </is>
      </c>
      <c r="D121" s="5" t="inlineStr">
        <is>
          <t>Headphones</t>
        </is>
      </c>
      <c r="E121" s="6" t="n">
        <v>4</v>
      </c>
      <c r="F121" s="7" t="n">
        <v>8500</v>
      </c>
      <c r="G121" s="15" t="n">
        <v>42500</v>
      </c>
      <c r="H121" s="16" t="inlineStr">
        <is>
          <t>Pending</t>
        </is>
      </c>
    </row>
    <row r="122">
      <c r="A122" s="9" t="inlineStr">
        <is>
          <t>TXN1200</t>
        </is>
      </c>
      <c r="B122" s="10" t="n">
        <v>45622</v>
      </c>
      <c r="C122" s="11" t="inlineStr">
        <is>
          <t>Delta Co</t>
        </is>
      </c>
      <c r="D122" s="11" t="inlineStr">
        <is>
          <t>Scanner</t>
        </is>
      </c>
      <c r="E122" s="12" t="n">
        <v>7</v>
      </c>
      <c r="F122" s="13" t="n">
        <v>12000</v>
      </c>
      <c r="G122" s="15" t="n">
        <v>71400</v>
      </c>
      <c r="H122" s="8" t="inlineStr">
        <is>
          <t>Refunded</t>
        </is>
      </c>
    </row>
    <row r="125">
      <c r="A125" s="21" t="inlineStr">
        <is>
          <t xml:space="preserve">  ERROR LEGEND — Colour Codes Used in This Sheet</t>
        </is>
      </c>
    </row>
    <row r="126">
      <c r="A126" s="22" t="inlineStr">
        <is>
          <t>🔴 Red cell</t>
        </is>
      </c>
      <c r="B126" s="23" t="inlineStr">
        <is>
          <t>Duplicate Transaction ID / Missing Customer or Product or Date</t>
        </is>
      </c>
    </row>
    <row r="127">
      <c r="A127" s="24" t="inlineStr">
        <is>
          <t>🟡 Yellow cell</t>
        </is>
      </c>
      <c r="B127" s="25" t="inlineStr">
        <is>
          <t>Total Amount does not equal Quantity × Price (Mismatch)</t>
        </is>
      </c>
    </row>
    <row r="128">
      <c r="A128" s="26" t="inlineStr">
        <is>
          <t>🟠 Orange cell</t>
        </is>
      </c>
      <c r="B128" s="27" t="inlineStr">
        <is>
          <t>Negative Quantity or Zero Unit Price (data-entry error)</t>
        </is>
      </c>
    </row>
    <row r="129">
      <c r="A129" s="28" t="inlineStr">
        <is>
          <t>⬜ Normal cell</t>
        </is>
      </c>
      <c r="B129" s="29" t="inlineStr">
        <is>
          <t>No error detected — value appears valid</t>
        </is>
      </c>
    </row>
  </sheetData>
  <autoFilter ref="A2:H122"/>
  <mergeCells count="6">
    <mergeCell ref="B127:H127"/>
    <mergeCell ref="B126:H126"/>
    <mergeCell ref="A125:H125"/>
    <mergeCell ref="B129:H129"/>
    <mergeCell ref="A1:H1"/>
    <mergeCell ref="B128:H128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0" customWidth="1" min="5" max="5"/>
    <col width="14" customWidth="1" min="6" max="6"/>
    <col width="18" customWidth="1" min="7" max="7"/>
    <col width="14" customWidth="1" min="8" max="8"/>
    <col width="18" customWidth="1" min="9" max="9"/>
  </cols>
  <sheetData>
    <row r="1" ht="32" customHeight="1">
      <c r="A1" s="30" t="inlineStr">
        <is>
          <t>CLEANED DATA — Formulas Applied: TRIM | IF | XLOOKUP | Corrected Totals</t>
        </is>
      </c>
    </row>
    <row r="2" ht="26" customHeight="1">
      <c r="A2" s="31" t="inlineStr">
        <is>
          <t>Transaction ID</t>
        </is>
      </c>
      <c r="B2" s="31" t="inlineStr">
        <is>
          <t>Date</t>
        </is>
      </c>
      <c r="C2" s="31" t="inlineStr">
        <is>
          <t>Customer Name (TRIM)</t>
        </is>
      </c>
      <c r="D2" s="31" t="inlineStr">
        <is>
          <t>Product</t>
        </is>
      </c>
      <c r="E2" s="31" t="inlineStr">
        <is>
          <t>Quantity</t>
        </is>
      </c>
      <c r="F2" s="31" t="inlineStr">
        <is>
          <t>Unit Price ($)</t>
        </is>
      </c>
      <c r="G2" s="31" t="inlineStr">
        <is>
          <t>Corrected Total ($)</t>
        </is>
      </c>
      <c r="H2" s="31" t="inlineStr">
        <is>
          <t>Payment Status</t>
        </is>
      </c>
      <c r="I2" s="31" t="inlineStr">
        <is>
          <t>Row Flag</t>
        </is>
      </c>
    </row>
    <row r="3">
      <c r="A3" s="3">
        <f>IF(Raw_Data!A3="","Missing",Raw_Data!A3)</f>
        <v/>
      </c>
      <c r="B3" s="4">
        <f>IF(Raw_Data!B3="",DATE(2024,1,1),Raw_Data!B3)</f>
        <v/>
      </c>
      <c r="C3" s="5">
        <f>TRIM(IF(Raw_Data!C3="","Unknown Customer",Raw_Data!C3))</f>
        <v/>
      </c>
      <c r="D3" s="5">
        <f>IF(Raw_Data!D3="","Unknown Product",Raw_Data!D3)</f>
        <v/>
      </c>
      <c r="E3" s="6">
        <f>ABS(Raw_Data!E3)</f>
        <v/>
      </c>
      <c r="F3" s="7">
        <f>Raw_Data!F3</f>
        <v/>
      </c>
      <c r="G3" s="7">
        <f>E3*F3</f>
        <v/>
      </c>
      <c r="H3" s="32">
        <f>IFERROR(XLOOKUP(Raw_Data!A3,Raw_Data!A:A,Raw_Data!H:H),"N/A")</f>
        <v/>
      </c>
      <c r="I3" s="33" t="inlineStr">
        <is>
          <t>Clean</t>
        </is>
      </c>
    </row>
    <row r="4">
      <c r="A4" s="9">
        <f>IF(Raw_Data!A4="","Missing",Raw_Data!A4)</f>
        <v/>
      </c>
      <c r="B4" s="10">
        <f>IF(Raw_Data!B4="",DATE(2024,1,1),Raw_Data!B4)</f>
        <v/>
      </c>
      <c r="C4" s="11">
        <f>TRIM(IF(Raw_Data!C4="","Unknown Customer",Raw_Data!C4))</f>
        <v/>
      </c>
      <c r="D4" s="11">
        <f>IF(Raw_Data!D4="","Unknown Product",Raw_Data!D4)</f>
        <v/>
      </c>
      <c r="E4" s="12">
        <f>ABS(Raw_Data!E4)</f>
        <v/>
      </c>
      <c r="F4" s="13">
        <f>Raw_Data!F4</f>
        <v/>
      </c>
      <c r="G4" s="13">
        <f>E4*F4</f>
        <v/>
      </c>
      <c r="H4" s="34">
        <f>IFERROR(XLOOKUP(Raw_Data!A4,Raw_Data!A:A,Raw_Data!H:H),"N/A")</f>
        <v/>
      </c>
      <c r="I4" s="35" t="inlineStr">
        <is>
          <t>Clean</t>
        </is>
      </c>
    </row>
    <row r="5">
      <c r="A5" s="36">
        <f>IF(Raw_Data!A5="","Missing",Raw_Data!A5)</f>
        <v/>
      </c>
      <c r="B5" s="37">
        <f>IF(Raw_Data!B5="",DATE(2024,1,1),Raw_Data!B5)</f>
        <v/>
      </c>
      <c r="C5" s="38">
        <f>TRIM(IF(Raw_Data!C5="","Unknown Customer",Raw_Data!C5))</f>
        <v/>
      </c>
      <c r="D5" s="38">
        <f>IF(Raw_Data!D5="","Unknown Product",Raw_Data!D5)</f>
        <v/>
      </c>
      <c r="E5" s="39">
        <f>ABS(Raw_Data!E5)</f>
        <v/>
      </c>
      <c r="F5" s="40">
        <f>Raw_Data!F5</f>
        <v/>
      </c>
      <c r="G5" s="41">
        <f>E5*F5</f>
        <v/>
      </c>
      <c r="H5" s="42">
        <f>IFERROR(XLOOKUP(Raw_Data!A5,Raw_Data!A:A,Raw_Data!H:H),"N/A")</f>
        <v/>
      </c>
      <c r="I5" s="14" t="inlineStr">
        <is>
          <t>Fixed</t>
        </is>
      </c>
    </row>
    <row r="6">
      <c r="A6" s="36">
        <f>IF(Raw_Data!A6="","Missing",Raw_Data!A6)</f>
        <v/>
      </c>
      <c r="B6" s="37">
        <f>IF(Raw_Data!B6="",DATE(2024,1,1),Raw_Data!B6)</f>
        <v/>
      </c>
      <c r="C6" s="38">
        <f>TRIM(IF(Raw_Data!C6="","Unknown Customer",Raw_Data!C6))</f>
        <v/>
      </c>
      <c r="D6" s="38">
        <f>IF(Raw_Data!D6="","Unknown Product",Raw_Data!D6)</f>
        <v/>
      </c>
      <c r="E6" s="39">
        <f>ABS(Raw_Data!E6)</f>
        <v/>
      </c>
      <c r="F6" s="40">
        <f>Raw_Data!F6</f>
        <v/>
      </c>
      <c r="G6" s="41">
        <f>E6*F6</f>
        <v/>
      </c>
      <c r="H6" s="42">
        <f>IFERROR(XLOOKUP(Raw_Data!A6,Raw_Data!A:A,Raw_Data!H:H),"N/A")</f>
        <v/>
      </c>
      <c r="I6" s="14" t="inlineStr">
        <is>
          <t>Fixed</t>
        </is>
      </c>
    </row>
    <row r="7">
      <c r="A7" s="3">
        <f>IF(Raw_Data!A7="","Missing",Raw_Data!A7)</f>
        <v/>
      </c>
      <c r="B7" s="4">
        <f>IF(Raw_Data!B7="",DATE(2024,1,1),Raw_Data!B7)</f>
        <v/>
      </c>
      <c r="C7" s="5">
        <f>TRIM(IF(Raw_Data!C7="","Unknown Customer",Raw_Data!C7))</f>
        <v/>
      </c>
      <c r="D7" s="5">
        <f>IF(Raw_Data!D7="","Unknown Product",Raw_Data!D7)</f>
        <v/>
      </c>
      <c r="E7" s="6">
        <f>ABS(Raw_Data!E7)</f>
        <v/>
      </c>
      <c r="F7" s="7">
        <f>Raw_Data!F7</f>
        <v/>
      </c>
      <c r="G7" s="7">
        <f>E7*F7</f>
        <v/>
      </c>
      <c r="H7" s="32">
        <f>IFERROR(XLOOKUP(Raw_Data!A7,Raw_Data!A:A,Raw_Data!H:H),"N/A")</f>
        <v/>
      </c>
      <c r="I7" s="33" t="inlineStr">
        <is>
          <t>Clean</t>
        </is>
      </c>
    </row>
    <row r="8">
      <c r="A8" s="9">
        <f>IF(Raw_Data!A8="","Missing",Raw_Data!A8)</f>
        <v/>
      </c>
      <c r="B8" s="10">
        <f>IF(Raw_Data!B8="",DATE(2024,1,1),Raw_Data!B8)</f>
        <v/>
      </c>
      <c r="C8" s="11">
        <f>TRIM(IF(Raw_Data!C8="","Unknown Customer",Raw_Data!C8))</f>
        <v/>
      </c>
      <c r="D8" s="11">
        <f>IF(Raw_Data!D8="","Unknown Product",Raw_Data!D8)</f>
        <v/>
      </c>
      <c r="E8" s="12">
        <f>ABS(Raw_Data!E8)</f>
        <v/>
      </c>
      <c r="F8" s="13">
        <f>Raw_Data!F8</f>
        <v/>
      </c>
      <c r="G8" s="13">
        <f>E8*F8</f>
        <v/>
      </c>
      <c r="H8" s="34">
        <f>IFERROR(XLOOKUP(Raw_Data!A8,Raw_Data!A:A,Raw_Data!H:H),"N/A")</f>
        <v/>
      </c>
      <c r="I8" s="35" t="inlineStr">
        <is>
          <t>Clean</t>
        </is>
      </c>
    </row>
    <row r="9">
      <c r="A9" s="36">
        <f>IF(Raw_Data!A9="","Missing",Raw_Data!A9)</f>
        <v/>
      </c>
      <c r="B9" s="37">
        <f>IF(Raw_Data!B9="",DATE(2024,1,1),Raw_Data!B9)</f>
        <v/>
      </c>
      <c r="C9" s="38">
        <f>TRIM(IF(Raw_Data!C9="","Unknown Customer",Raw_Data!C9))</f>
        <v/>
      </c>
      <c r="D9" s="38">
        <f>IF(Raw_Data!D9="","Unknown Product",Raw_Data!D9)</f>
        <v/>
      </c>
      <c r="E9" s="39">
        <f>ABS(Raw_Data!E9)</f>
        <v/>
      </c>
      <c r="F9" s="40">
        <f>Raw_Data!F9</f>
        <v/>
      </c>
      <c r="G9" s="41">
        <f>E9*F9</f>
        <v/>
      </c>
      <c r="H9" s="42">
        <f>IFERROR(XLOOKUP(Raw_Data!A9,Raw_Data!A:A,Raw_Data!H:H),"N/A")</f>
        <v/>
      </c>
      <c r="I9" s="14" t="inlineStr">
        <is>
          <t>Fixed</t>
        </is>
      </c>
    </row>
    <row r="10">
      <c r="A10" s="9">
        <f>IF(Raw_Data!A10="","Missing",Raw_Data!A10)</f>
        <v/>
      </c>
      <c r="B10" s="10">
        <f>IF(Raw_Data!B10="",DATE(2024,1,1),Raw_Data!B10)</f>
        <v/>
      </c>
      <c r="C10" s="11">
        <f>TRIM(IF(Raw_Data!C10="","Unknown Customer",Raw_Data!C10))</f>
        <v/>
      </c>
      <c r="D10" s="11">
        <f>IF(Raw_Data!D10="","Unknown Product",Raw_Data!D10)</f>
        <v/>
      </c>
      <c r="E10" s="12">
        <f>ABS(Raw_Data!E10)</f>
        <v/>
      </c>
      <c r="F10" s="13">
        <f>Raw_Data!F10</f>
        <v/>
      </c>
      <c r="G10" s="13">
        <f>E10*F10</f>
        <v/>
      </c>
      <c r="H10" s="34">
        <f>IFERROR(XLOOKUP(Raw_Data!A10,Raw_Data!A:A,Raw_Data!H:H),"N/A")</f>
        <v/>
      </c>
      <c r="I10" s="35" t="inlineStr">
        <is>
          <t>Clean</t>
        </is>
      </c>
    </row>
    <row r="11">
      <c r="A11" s="3">
        <f>IF(Raw_Data!A12="","Missing",Raw_Data!A12)</f>
        <v/>
      </c>
      <c r="B11" s="4">
        <f>IF(Raw_Data!B12="",DATE(2024,1,1),Raw_Data!B12)</f>
        <v/>
      </c>
      <c r="C11" s="5">
        <f>TRIM(IF(Raw_Data!C12="","Unknown Customer",Raw_Data!C12))</f>
        <v/>
      </c>
      <c r="D11" s="5">
        <f>IF(Raw_Data!D12="","Unknown Product",Raw_Data!D12)</f>
        <v/>
      </c>
      <c r="E11" s="6">
        <f>ABS(Raw_Data!E12)</f>
        <v/>
      </c>
      <c r="F11" s="7">
        <f>Raw_Data!F12</f>
        <v/>
      </c>
      <c r="G11" s="7">
        <f>E11*F11</f>
        <v/>
      </c>
      <c r="H11" s="32">
        <f>IFERROR(XLOOKUP(Raw_Data!A12,Raw_Data!A:A,Raw_Data!H:H),"N/A")</f>
        <v/>
      </c>
      <c r="I11" s="33" t="inlineStr">
        <is>
          <t>Clean</t>
        </is>
      </c>
    </row>
    <row r="12">
      <c r="A12" s="36">
        <f>IF(Raw_Data!A13="","Missing",Raw_Data!A13)</f>
        <v/>
      </c>
      <c r="B12" s="37">
        <f>IF(Raw_Data!B13="",DATE(2024,1,1),Raw_Data!B13)</f>
        <v/>
      </c>
      <c r="C12" s="38">
        <f>TRIM(IF(Raw_Data!C13="","Unknown Customer",Raw_Data!C13))</f>
        <v/>
      </c>
      <c r="D12" s="38">
        <f>IF(Raw_Data!D13="","Unknown Product",Raw_Data!D13)</f>
        <v/>
      </c>
      <c r="E12" s="39">
        <f>ABS(Raw_Data!E13)</f>
        <v/>
      </c>
      <c r="F12" s="40">
        <f>Raw_Data!F13</f>
        <v/>
      </c>
      <c r="G12" s="41">
        <f>E12*F12</f>
        <v/>
      </c>
      <c r="H12" s="42">
        <f>IFERROR(XLOOKUP(Raw_Data!A13,Raw_Data!A:A,Raw_Data!H:H),"N/A")</f>
        <v/>
      </c>
      <c r="I12" s="14" t="inlineStr">
        <is>
          <t>Fixed</t>
        </is>
      </c>
    </row>
    <row r="13">
      <c r="A13" s="36">
        <f>IF(Raw_Data!A14="","Missing",Raw_Data!A14)</f>
        <v/>
      </c>
      <c r="B13" s="37">
        <f>IF(Raw_Data!B14="",DATE(2024,1,1),Raw_Data!B14)</f>
        <v/>
      </c>
      <c r="C13" s="38">
        <f>TRIM(IF(Raw_Data!C14="","Unknown Customer",Raw_Data!C14))</f>
        <v/>
      </c>
      <c r="D13" s="38">
        <f>IF(Raw_Data!D14="","Unknown Product",Raw_Data!D14)</f>
        <v/>
      </c>
      <c r="E13" s="39">
        <f>ABS(Raw_Data!E14)</f>
        <v/>
      </c>
      <c r="F13" s="40">
        <f>Raw_Data!F14</f>
        <v/>
      </c>
      <c r="G13" s="41">
        <f>E13*F13</f>
        <v/>
      </c>
      <c r="H13" s="42">
        <f>IFERROR(XLOOKUP(Raw_Data!A14,Raw_Data!A:A,Raw_Data!H:H),"N/A")</f>
        <v/>
      </c>
      <c r="I13" s="14" t="inlineStr">
        <is>
          <t>Fixed</t>
        </is>
      </c>
    </row>
    <row r="14">
      <c r="A14" s="9">
        <f>IF(Raw_Data!A15="","Missing",Raw_Data!A15)</f>
        <v/>
      </c>
      <c r="B14" s="10">
        <f>IF(Raw_Data!B15="",DATE(2024,1,1),Raw_Data!B15)</f>
        <v/>
      </c>
      <c r="C14" s="11">
        <f>TRIM(IF(Raw_Data!C15="","Unknown Customer",Raw_Data!C15))</f>
        <v/>
      </c>
      <c r="D14" s="11">
        <f>IF(Raw_Data!D15="","Unknown Product",Raw_Data!D15)</f>
        <v/>
      </c>
      <c r="E14" s="12">
        <f>ABS(Raw_Data!E15)</f>
        <v/>
      </c>
      <c r="F14" s="13">
        <f>Raw_Data!F15</f>
        <v/>
      </c>
      <c r="G14" s="13">
        <f>E14*F14</f>
        <v/>
      </c>
      <c r="H14" s="34">
        <f>IFERROR(XLOOKUP(Raw_Data!A15,Raw_Data!A:A,Raw_Data!H:H),"N/A")</f>
        <v/>
      </c>
      <c r="I14" s="35" t="inlineStr">
        <is>
          <t>Clean</t>
        </is>
      </c>
    </row>
    <row r="15">
      <c r="A15" s="36">
        <f>IF(Raw_Data!A16="","Missing",Raw_Data!A16)</f>
        <v/>
      </c>
      <c r="B15" s="37">
        <f>IF(Raw_Data!B16="",DATE(2024,1,1),Raw_Data!B16)</f>
        <v/>
      </c>
      <c r="C15" s="38">
        <f>TRIM(IF(Raw_Data!C16="","Unknown Customer",Raw_Data!C16))</f>
        <v/>
      </c>
      <c r="D15" s="38">
        <f>IF(Raw_Data!D16="","Unknown Product",Raw_Data!D16)</f>
        <v/>
      </c>
      <c r="E15" s="39">
        <f>ABS(Raw_Data!E16)</f>
        <v/>
      </c>
      <c r="F15" s="40">
        <f>Raw_Data!F16</f>
        <v/>
      </c>
      <c r="G15" s="41">
        <f>E15*F15</f>
        <v/>
      </c>
      <c r="H15" s="42">
        <f>IFERROR(XLOOKUP(Raw_Data!A16,Raw_Data!A:A,Raw_Data!H:H),"N/A")</f>
        <v/>
      </c>
      <c r="I15" s="14" t="inlineStr">
        <is>
          <t>Fixed</t>
        </is>
      </c>
    </row>
    <row r="16">
      <c r="A16" s="9">
        <f>IF(Raw_Data!A17="","Missing",Raw_Data!A17)</f>
        <v/>
      </c>
      <c r="B16" s="10">
        <f>IF(Raw_Data!B17="",DATE(2024,1,1),Raw_Data!B17)</f>
        <v/>
      </c>
      <c r="C16" s="11">
        <f>TRIM(IF(Raw_Data!C17="","Unknown Customer",Raw_Data!C17))</f>
        <v/>
      </c>
      <c r="D16" s="11">
        <f>IF(Raw_Data!D17="","Unknown Product",Raw_Data!D17)</f>
        <v/>
      </c>
      <c r="E16" s="12">
        <f>ABS(Raw_Data!E17)</f>
        <v/>
      </c>
      <c r="F16" s="13">
        <f>Raw_Data!F17</f>
        <v/>
      </c>
      <c r="G16" s="13">
        <f>E16*F16</f>
        <v/>
      </c>
      <c r="H16" s="34">
        <f>IFERROR(XLOOKUP(Raw_Data!A17,Raw_Data!A:A,Raw_Data!H:H),"N/A")</f>
        <v/>
      </c>
      <c r="I16" s="35" t="inlineStr">
        <is>
          <t>Clean</t>
        </is>
      </c>
    </row>
    <row r="17">
      <c r="A17" s="3">
        <f>IF(Raw_Data!A18="","Missing",Raw_Data!A18)</f>
        <v/>
      </c>
      <c r="B17" s="4">
        <f>IF(Raw_Data!B18="",DATE(2024,1,1),Raw_Data!B18)</f>
        <v/>
      </c>
      <c r="C17" s="5">
        <f>TRIM(IF(Raw_Data!C18="","Unknown Customer",Raw_Data!C18))</f>
        <v/>
      </c>
      <c r="D17" s="5">
        <f>IF(Raw_Data!D18="","Unknown Product",Raw_Data!D18)</f>
        <v/>
      </c>
      <c r="E17" s="6">
        <f>ABS(Raw_Data!E18)</f>
        <v/>
      </c>
      <c r="F17" s="7">
        <f>Raw_Data!F18</f>
        <v/>
      </c>
      <c r="G17" s="7">
        <f>E17*F17</f>
        <v/>
      </c>
      <c r="H17" s="32">
        <f>IFERROR(XLOOKUP(Raw_Data!A18,Raw_Data!A:A,Raw_Data!H:H),"N/A")</f>
        <v/>
      </c>
      <c r="I17" s="33" t="inlineStr">
        <is>
          <t>Clean</t>
        </is>
      </c>
    </row>
    <row r="18">
      <c r="A18" s="36">
        <f>IF(Raw_Data!A19="","Missing",Raw_Data!A19)</f>
        <v/>
      </c>
      <c r="B18" s="37">
        <f>IF(Raw_Data!B19="",DATE(2024,1,1),Raw_Data!B19)</f>
        <v/>
      </c>
      <c r="C18" s="38">
        <f>TRIM(IF(Raw_Data!C19="","Unknown Customer",Raw_Data!C19))</f>
        <v/>
      </c>
      <c r="D18" s="38">
        <f>IF(Raw_Data!D19="","Unknown Product",Raw_Data!D19)</f>
        <v/>
      </c>
      <c r="E18" s="39">
        <f>ABS(Raw_Data!E19)</f>
        <v/>
      </c>
      <c r="F18" s="40">
        <f>Raw_Data!F19</f>
        <v/>
      </c>
      <c r="G18" s="41">
        <f>E18*F18</f>
        <v/>
      </c>
      <c r="H18" s="42">
        <f>IFERROR(XLOOKUP(Raw_Data!A19,Raw_Data!A:A,Raw_Data!H:H),"N/A")</f>
        <v/>
      </c>
      <c r="I18" s="14" t="inlineStr">
        <is>
          <t>Fixed</t>
        </is>
      </c>
    </row>
    <row r="19">
      <c r="A19" s="3">
        <f>IF(Raw_Data!A20="","Missing",Raw_Data!A20)</f>
        <v/>
      </c>
      <c r="B19" s="4">
        <f>IF(Raw_Data!B20="",DATE(2024,1,1),Raw_Data!B20)</f>
        <v/>
      </c>
      <c r="C19" s="5">
        <f>TRIM(IF(Raw_Data!C20="","Unknown Customer",Raw_Data!C20))</f>
        <v/>
      </c>
      <c r="D19" s="5">
        <f>IF(Raw_Data!D20="","Unknown Product",Raw_Data!D20)</f>
        <v/>
      </c>
      <c r="E19" s="6">
        <f>ABS(Raw_Data!E20)</f>
        <v/>
      </c>
      <c r="F19" s="7">
        <f>Raw_Data!F20</f>
        <v/>
      </c>
      <c r="G19" s="7">
        <f>E19*F19</f>
        <v/>
      </c>
      <c r="H19" s="32">
        <f>IFERROR(XLOOKUP(Raw_Data!A20,Raw_Data!A:A,Raw_Data!H:H),"N/A")</f>
        <v/>
      </c>
      <c r="I19" s="33" t="inlineStr">
        <is>
          <t>Clean</t>
        </is>
      </c>
    </row>
    <row r="20">
      <c r="A20" s="36">
        <f>IF(Raw_Data!A21="","Missing",Raw_Data!A21)</f>
        <v/>
      </c>
      <c r="B20" s="37">
        <f>IF(Raw_Data!B21="",DATE(2024,1,1),Raw_Data!B21)</f>
        <v/>
      </c>
      <c r="C20" s="38">
        <f>TRIM(IF(Raw_Data!C21="","Unknown Customer",Raw_Data!C21))</f>
        <v/>
      </c>
      <c r="D20" s="38">
        <f>IF(Raw_Data!D21="","Unknown Product",Raw_Data!D21)</f>
        <v/>
      </c>
      <c r="E20" s="39">
        <f>ABS(Raw_Data!E21)</f>
        <v/>
      </c>
      <c r="F20" s="40">
        <f>Raw_Data!F21</f>
        <v/>
      </c>
      <c r="G20" s="41">
        <f>E20*F20</f>
        <v/>
      </c>
      <c r="H20" s="42">
        <f>IFERROR(XLOOKUP(Raw_Data!A21,Raw_Data!A:A,Raw_Data!H:H),"N/A")</f>
        <v/>
      </c>
      <c r="I20" s="14" t="inlineStr">
        <is>
          <t>Fixed</t>
        </is>
      </c>
    </row>
    <row r="21">
      <c r="A21" s="3">
        <f>IF(Raw_Data!A22="","Missing",Raw_Data!A22)</f>
        <v/>
      </c>
      <c r="B21" s="4">
        <f>IF(Raw_Data!B22="",DATE(2024,1,1),Raw_Data!B22)</f>
        <v/>
      </c>
      <c r="C21" s="5">
        <f>TRIM(IF(Raw_Data!C22="","Unknown Customer",Raw_Data!C22))</f>
        <v/>
      </c>
      <c r="D21" s="5">
        <f>IF(Raw_Data!D22="","Unknown Product",Raw_Data!D22)</f>
        <v/>
      </c>
      <c r="E21" s="6">
        <f>ABS(Raw_Data!E22)</f>
        <v/>
      </c>
      <c r="F21" s="7">
        <f>Raw_Data!F22</f>
        <v/>
      </c>
      <c r="G21" s="7">
        <f>E21*F21</f>
        <v/>
      </c>
      <c r="H21" s="32">
        <f>IFERROR(XLOOKUP(Raw_Data!A22,Raw_Data!A:A,Raw_Data!H:H),"N/A")</f>
        <v/>
      </c>
      <c r="I21" s="33" t="inlineStr">
        <is>
          <t>Clean</t>
        </is>
      </c>
    </row>
    <row r="22">
      <c r="A22" s="9">
        <f>IF(Raw_Data!A23="","Missing",Raw_Data!A23)</f>
        <v/>
      </c>
      <c r="B22" s="10">
        <f>IF(Raw_Data!B23="",DATE(2024,1,1),Raw_Data!B23)</f>
        <v/>
      </c>
      <c r="C22" s="11">
        <f>TRIM(IF(Raw_Data!C23="","Unknown Customer",Raw_Data!C23))</f>
        <v/>
      </c>
      <c r="D22" s="11">
        <f>IF(Raw_Data!D23="","Unknown Product",Raw_Data!D23)</f>
        <v/>
      </c>
      <c r="E22" s="12">
        <f>ABS(Raw_Data!E23)</f>
        <v/>
      </c>
      <c r="F22" s="13">
        <f>Raw_Data!F23</f>
        <v/>
      </c>
      <c r="G22" s="13">
        <f>E22*F22</f>
        <v/>
      </c>
      <c r="H22" s="34">
        <f>IFERROR(XLOOKUP(Raw_Data!A23,Raw_Data!A:A,Raw_Data!H:H),"N/A")</f>
        <v/>
      </c>
      <c r="I22" s="35" t="inlineStr">
        <is>
          <t>Clean</t>
        </is>
      </c>
    </row>
    <row r="23">
      <c r="A23" s="36">
        <f>IF(Raw_Data!A24="","Missing",Raw_Data!A24)</f>
        <v/>
      </c>
      <c r="B23" s="37">
        <f>IF(Raw_Data!B24="",DATE(2024,1,1),Raw_Data!B24)</f>
        <v/>
      </c>
      <c r="C23" s="38">
        <f>TRIM(IF(Raw_Data!C24="","Unknown Customer",Raw_Data!C24))</f>
        <v/>
      </c>
      <c r="D23" s="38">
        <f>IF(Raw_Data!D24="","Unknown Product",Raw_Data!D24)</f>
        <v/>
      </c>
      <c r="E23" s="39">
        <f>ABS(Raw_Data!E24)</f>
        <v/>
      </c>
      <c r="F23" s="40">
        <f>Raw_Data!F24</f>
        <v/>
      </c>
      <c r="G23" s="41">
        <f>E23*F23</f>
        <v/>
      </c>
      <c r="H23" s="42">
        <f>IFERROR(XLOOKUP(Raw_Data!A24,Raw_Data!A:A,Raw_Data!H:H),"N/A")</f>
        <v/>
      </c>
      <c r="I23" s="14" t="inlineStr">
        <is>
          <t>Fixed</t>
        </is>
      </c>
    </row>
    <row r="24">
      <c r="A24" s="9">
        <f>IF(Raw_Data!A25="","Missing",Raw_Data!A25)</f>
        <v/>
      </c>
      <c r="B24" s="10">
        <f>IF(Raw_Data!B25="",DATE(2024,1,1),Raw_Data!B25)</f>
        <v/>
      </c>
      <c r="C24" s="11">
        <f>TRIM(IF(Raw_Data!C25="","Unknown Customer",Raw_Data!C25))</f>
        <v/>
      </c>
      <c r="D24" s="11">
        <f>IF(Raw_Data!D25="","Unknown Product",Raw_Data!D25)</f>
        <v/>
      </c>
      <c r="E24" s="12">
        <f>ABS(Raw_Data!E25)</f>
        <v/>
      </c>
      <c r="F24" s="13">
        <f>Raw_Data!F25</f>
        <v/>
      </c>
      <c r="G24" s="13">
        <f>E24*F24</f>
        <v/>
      </c>
      <c r="H24" s="34">
        <f>IFERROR(XLOOKUP(Raw_Data!A25,Raw_Data!A:A,Raw_Data!H:H),"N/A")</f>
        <v/>
      </c>
      <c r="I24" s="35" t="inlineStr">
        <is>
          <t>Clean</t>
        </is>
      </c>
    </row>
    <row r="25">
      <c r="A25" s="3">
        <f>IF(Raw_Data!A27="","Missing",Raw_Data!A27)</f>
        <v/>
      </c>
      <c r="B25" s="4">
        <f>IF(Raw_Data!B27="",DATE(2024,1,1),Raw_Data!B27)</f>
        <v/>
      </c>
      <c r="C25" s="5">
        <f>TRIM(IF(Raw_Data!C27="","Unknown Customer",Raw_Data!C27))</f>
        <v/>
      </c>
      <c r="D25" s="5">
        <f>IF(Raw_Data!D27="","Unknown Product",Raw_Data!D27)</f>
        <v/>
      </c>
      <c r="E25" s="6">
        <f>ABS(Raw_Data!E27)</f>
        <v/>
      </c>
      <c r="F25" s="7">
        <f>Raw_Data!F27</f>
        <v/>
      </c>
      <c r="G25" s="7">
        <f>E25*F25</f>
        <v/>
      </c>
      <c r="H25" s="32">
        <f>IFERROR(XLOOKUP(Raw_Data!A27,Raw_Data!A:A,Raw_Data!H:H),"N/A")</f>
        <v/>
      </c>
      <c r="I25" s="33" t="inlineStr">
        <is>
          <t>Clean</t>
        </is>
      </c>
    </row>
    <row r="26">
      <c r="A26" s="9">
        <f>IF(Raw_Data!A28="","Missing",Raw_Data!A28)</f>
        <v/>
      </c>
      <c r="B26" s="10">
        <f>IF(Raw_Data!B28="",DATE(2024,1,1),Raw_Data!B28)</f>
        <v/>
      </c>
      <c r="C26" s="11">
        <f>TRIM(IF(Raw_Data!C28="","Unknown Customer",Raw_Data!C28))</f>
        <v/>
      </c>
      <c r="D26" s="11">
        <f>IF(Raw_Data!D28="","Unknown Product",Raw_Data!D28)</f>
        <v/>
      </c>
      <c r="E26" s="12">
        <f>ABS(Raw_Data!E28)</f>
        <v/>
      </c>
      <c r="F26" s="13">
        <f>Raw_Data!F28</f>
        <v/>
      </c>
      <c r="G26" s="13">
        <f>E26*F26</f>
        <v/>
      </c>
      <c r="H26" s="34">
        <f>IFERROR(XLOOKUP(Raw_Data!A28,Raw_Data!A:A,Raw_Data!H:H),"N/A")</f>
        <v/>
      </c>
      <c r="I26" s="35" t="inlineStr">
        <is>
          <t>Clean</t>
        </is>
      </c>
    </row>
    <row r="27">
      <c r="A27" s="36">
        <f>IF(Raw_Data!A29="","Missing",Raw_Data!A29)</f>
        <v/>
      </c>
      <c r="B27" s="37">
        <f>IF(Raw_Data!B29="",DATE(2024,1,1),Raw_Data!B29)</f>
        <v/>
      </c>
      <c r="C27" s="38">
        <f>TRIM(IF(Raw_Data!C29="","Unknown Customer",Raw_Data!C29))</f>
        <v/>
      </c>
      <c r="D27" s="38">
        <f>IF(Raw_Data!D29="","Unknown Product",Raw_Data!D29)</f>
        <v/>
      </c>
      <c r="E27" s="39">
        <f>ABS(Raw_Data!E29)</f>
        <v/>
      </c>
      <c r="F27" s="40">
        <f>Raw_Data!F29</f>
        <v/>
      </c>
      <c r="G27" s="41">
        <f>E27*F27</f>
        <v/>
      </c>
      <c r="H27" s="42">
        <f>IFERROR(XLOOKUP(Raw_Data!A29,Raw_Data!A:A,Raw_Data!H:H),"N/A")</f>
        <v/>
      </c>
      <c r="I27" s="14" t="inlineStr">
        <is>
          <t>Fixed</t>
        </is>
      </c>
    </row>
    <row r="28">
      <c r="A28" s="9">
        <f>IF(Raw_Data!A30="","Missing",Raw_Data!A30)</f>
        <v/>
      </c>
      <c r="B28" s="10">
        <f>IF(Raw_Data!B30="",DATE(2024,1,1),Raw_Data!B30)</f>
        <v/>
      </c>
      <c r="C28" s="11">
        <f>TRIM(IF(Raw_Data!C30="","Unknown Customer",Raw_Data!C30))</f>
        <v/>
      </c>
      <c r="D28" s="11">
        <f>IF(Raw_Data!D30="","Unknown Product",Raw_Data!D30)</f>
        <v/>
      </c>
      <c r="E28" s="12">
        <f>ABS(Raw_Data!E30)</f>
        <v/>
      </c>
      <c r="F28" s="13">
        <f>Raw_Data!F30</f>
        <v/>
      </c>
      <c r="G28" s="13">
        <f>E28*F28</f>
        <v/>
      </c>
      <c r="H28" s="34">
        <f>IFERROR(XLOOKUP(Raw_Data!A30,Raw_Data!A:A,Raw_Data!H:H),"N/A")</f>
        <v/>
      </c>
      <c r="I28" s="35" t="inlineStr">
        <is>
          <t>Clean</t>
        </is>
      </c>
    </row>
    <row r="29">
      <c r="A29" s="3">
        <f>IF(Raw_Data!A32="","Missing",Raw_Data!A32)</f>
        <v/>
      </c>
      <c r="B29" s="4">
        <f>IF(Raw_Data!B32="",DATE(2024,1,1),Raw_Data!B32)</f>
        <v/>
      </c>
      <c r="C29" s="5">
        <f>TRIM(IF(Raw_Data!C32="","Unknown Customer",Raw_Data!C32))</f>
        <v/>
      </c>
      <c r="D29" s="5">
        <f>IF(Raw_Data!D32="","Unknown Product",Raw_Data!D32)</f>
        <v/>
      </c>
      <c r="E29" s="6">
        <f>ABS(Raw_Data!E32)</f>
        <v/>
      </c>
      <c r="F29" s="7">
        <f>Raw_Data!F32</f>
        <v/>
      </c>
      <c r="G29" s="7">
        <f>E29*F29</f>
        <v/>
      </c>
      <c r="H29" s="32">
        <f>IFERROR(XLOOKUP(Raw_Data!A32,Raw_Data!A:A,Raw_Data!H:H),"N/A")</f>
        <v/>
      </c>
      <c r="I29" s="33" t="inlineStr">
        <is>
          <t>Clean</t>
        </is>
      </c>
    </row>
    <row r="30">
      <c r="A30" s="9">
        <f>IF(Raw_Data!A33="","Missing",Raw_Data!A33)</f>
        <v/>
      </c>
      <c r="B30" s="10">
        <f>IF(Raw_Data!B33="",DATE(2024,1,1),Raw_Data!B33)</f>
        <v/>
      </c>
      <c r="C30" s="11">
        <f>TRIM(IF(Raw_Data!C33="","Unknown Customer",Raw_Data!C33))</f>
        <v/>
      </c>
      <c r="D30" s="11">
        <f>IF(Raw_Data!D33="","Unknown Product",Raw_Data!D33)</f>
        <v/>
      </c>
      <c r="E30" s="12">
        <f>ABS(Raw_Data!E33)</f>
        <v/>
      </c>
      <c r="F30" s="13">
        <f>Raw_Data!F33</f>
        <v/>
      </c>
      <c r="G30" s="13">
        <f>E30*F30</f>
        <v/>
      </c>
      <c r="H30" s="34">
        <f>IFERROR(XLOOKUP(Raw_Data!A33,Raw_Data!A:A,Raw_Data!H:H),"N/A")</f>
        <v/>
      </c>
      <c r="I30" s="35" t="inlineStr">
        <is>
          <t>Clean</t>
        </is>
      </c>
    </row>
    <row r="31">
      <c r="A31" s="36">
        <f>IF(Raw_Data!A34="","Missing",Raw_Data!A34)</f>
        <v/>
      </c>
      <c r="B31" s="37">
        <f>IF(Raw_Data!B34="",DATE(2024,1,1),Raw_Data!B34)</f>
        <v/>
      </c>
      <c r="C31" s="38">
        <f>TRIM(IF(Raw_Data!C34="","Unknown Customer",Raw_Data!C34))</f>
        <v/>
      </c>
      <c r="D31" s="38">
        <f>IF(Raw_Data!D34="","Unknown Product",Raw_Data!D34)</f>
        <v/>
      </c>
      <c r="E31" s="39">
        <f>ABS(Raw_Data!E34)</f>
        <v/>
      </c>
      <c r="F31" s="40">
        <f>Raw_Data!F34</f>
        <v/>
      </c>
      <c r="G31" s="41">
        <f>E31*F31</f>
        <v/>
      </c>
      <c r="H31" s="42">
        <f>IFERROR(XLOOKUP(Raw_Data!A34,Raw_Data!A:A,Raw_Data!H:H),"N/A")</f>
        <v/>
      </c>
      <c r="I31" s="14" t="inlineStr">
        <is>
          <t>Fixed</t>
        </is>
      </c>
    </row>
    <row r="32">
      <c r="A32" s="9">
        <f>IF(Raw_Data!A35="","Missing",Raw_Data!A35)</f>
        <v/>
      </c>
      <c r="B32" s="10">
        <f>IF(Raw_Data!B35="",DATE(2024,1,1),Raw_Data!B35)</f>
        <v/>
      </c>
      <c r="C32" s="11">
        <f>TRIM(IF(Raw_Data!C35="","Unknown Customer",Raw_Data!C35))</f>
        <v/>
      </c>
      <c r="D32" s="11">
        <f>IF(Raw_Data!D35="","Unknown Product",Raw_Data!D35)</f>
        <v/>
      </c>
      <c r="E32" s="12">
        <f>ABS(Raw_Data!E35)</f>
        <v/>
      </c>
      <c r="F32" s="13">
        <f>Raw_Data!F35</f>
        <v/>
      </c>
      <c r="G32" s="13">
        <f>E32*F32</f>
        <v/>
      </c>
      <c r="H32" s="34">
        <f>IFERROR(XLOOKUP(Raw_Data!A35,Raw_Data!A:A,Raw_Data!H:H),"N/A")</f>
        <v/>
      </c>
      <c r="I32" s="35" t="inlineStr">
        <is>
          <t>Clean</t>
        </is>
      </c>
    </row>
    <row r="33">
      <c r="A33" s="36">
        <f>IF(Raw_Data!A37="","Missing",Raw_Data!A37)</f>
        <v/>
      </c>
      <c r="B33" s="37">
        <f>IF(Raw_Data!B37="",DATE(2024,1,1),Raw_Data!B37)</f>
        <v/>
      </c>
      <c r="C33" s="38">
        <f>TRIM(IF(Raw_Data!C37="","Unknown Customer",Raw_Data!C37))</f>
        <v/>
      </c>
      <c r="D33" s="38">
        <f>IF(Raw_Data!D37="","Unknown Product",Raw_Data!D37)</f>
        <v/>
      </c>
      <c r="E33" s="39">
        <f>ABS(Raw_Data!E37)</f>
        <v/>
      </c>
      <c r="F33" s="40">
        <f>Raw_Data!F37</f>
        <v/>
      </c>
      <c r="G33" s="41">
        <f>E33*F33</f>
        <v/>
      </c>
      <c r="H33" s="42">
        <f>IFERROR(XLOOKUP(Raw_Data!A37,Raw_Data!A:A,Raw_Data!H:H),"N/A")</f>
        <v/>
      </c>
      <c r="I33" s="14" t="inlineStr">
        <is>
          <t>Fixed</t>
        </is>
      </c>
    </row>
    <row r="34">
      <c r="A34" s="9">
        <f>IF(Raw_Data!A38="","Missing",Raw_Data!A38)</f>
        <v/>
      </c>
      <c r="B34" s="10">
        <f>IF(Raw_Data!B38="",DATE(2024,1,1),Raw_Data!B38)</f>
        <v/>
      </c>
      <c r="C34" s="11">
        <f>TRIM(IF(Raw_Data!C38="","Unknown Customer",Raw_Data!C38))</f>
        <v/>
      </c>
      <c r="D34" s="11">
        <f>IF(Raw_Data!D38="","Unknown Product",Raw_Data!D38)</f>
        <v/>
      </c>
      <c r="E34" s="12">
        <f>ABS(Raw_Data!E38)</f>
        <v/>
      </c>
      <c r="F34" s="13">
        <f>Raw_Data!F38</f>
        <v/>
      </c>
      <c r="G34" s="13">
        <f>E34*F34</f>
        <v/>
      </c>
      <c r="H34" s="34">
        <f>IFERROR(XLOOKUP(Raw_Data!A38,Raw_Data!A:A,Raw_Data!H:H),"N/A")</f>
        <v/>
      </c>
      <c r="I34" s="35" t="inlineStr">
        <is>
          <t>Clean</t>
        </is>
      </c>
    </row>
    <row r="35">
      <c r="A35" s="36">
        <f>IF(Raw_Data!A39="","Missing",Raw_Data!A39)</f>
        <v/>
      </c>
      <c r="B35" s="37">
        <f>IF(Raw_Data!B39="",DATE(2024,1,1),Raw_Data!B39)</f>
        <v/>
      </c>
      <c r="C35" s="38">
        <f>TRIM(IF(Raw_Data!C39="","Unknown Customer",Raw_Data!C39))</f>
        <v/>
      </c>
      <c r="D35" s="38">
        <f>IF(Raw_Data!D39="","Unknown Product",Raw_Data!D39)</f>
        <v/>
      </c>
      <c r="E35" s="39">
        <f>ABS(Raw_Data!E39)</f>
        <v/>
      </c>
      <c r="F35" s="40">
        <f>Raw_Data!F39</f>
        <v/>
      </c>
      <c r="G35" s="41">
        <f>E35*F35</f>
        <v/>
      </c>
      <c r="H35" s="42">
        <f>IFERROR(XLOOKUP(Raw_Data!A39,Raw_Data!A:A,Raw_Data!H:H),"N/A")</f>
        <v/>
      </c>
      <c r="I35" s="14" t="inlineStr">
        <is>
          <t>Fixed</t>
        </is>
      </c>
    </row>
    <row r="36">
      <c r="A36" s="9">
        <f>IF(Raw_Data!A40="","Missing",Raw_Data!A40)</f>
        <v/>
      </c>
      <c r="B36" s="10">
        <f>IF(Raw_Data!B40="",DATE(2024,1,1),Raw_Data!B40)</f>
        <v/>
      </c>
      <c r="C36" s="11">
        <f>TRIM(IF(Raw_Data!C40="","Unknown Customer",Raw_Data!C40))</f>
        <v/>
      </c>
      <c r="D36" s="11">
        <f>IF(Raw_Data!D40="","Unknown Product",Raw_Data!D40)</f>
        <v/>
      </c>
      <c r="E36" s="12">
        <f>ABS(Raw_Data!E40)</f>
        <v/>
      </c>
      <c r="F36" s="13">
        <f>Raw_Data!F40</f>
        <v/>
      </c>
      <c r="G36" s="13">
        <f>E36*F36</f>
        <v/>
      </c>
      <c r="H36" s="34">
        <f>IFERROR(XLOOKUP(Raw_Data!A40,Raw_Data!A:A,Raw_Data!H:H),"N/A")</f>
        <v/>
      </c>
      <c r="I36" s="35" t="inlineStr">
        <is>
          <t>Clean</t>
        </is>
      </c>
    </row>
    <row r="37">
      <c r="A37" s="3">
        <f>IF(Raw_Data!A42="","Missing",Raw_Data!A42)</f>
        <v/>
      </c>
      <c r="B37" s="4">
        <f>IF(Raw_Data!B42="",DATE(2024,1,1),Raw_Data!B42)</f>
        <v/>
      </c>
      <c r="C37" s="5">
        <f>TRIM(IF(Raw_Data!C42="","Unknown Customer",Raw_Data!C42))</f>
        <v/>
      </c>
      <c r="D37" s="5">
        <f>IF(Raw_Data!D42="","Unknown Product",Raw_Data!D42)</f>
        <v/>
      </c>
      <c r="E37" s="6">
        <f>ABS(Raw_Data!E42)</f>
        <v/>
      </c>
      <c r="F37" s="7">
        <f>Raw_Data!F42</f>
        <v/>
      </c>
      <c r="G37" s="7">
        <f>E37*F37</f>
        <v/>
      </c>
      <c r="H37" s="32">
        <f>IFERROR(XLOOKUP(Raw_Data!A42,Raw_Data!A:A,Raw_Data!H:H),"N/A")</f>
        <v/>
      </c>
      <c r="I37" s="33" t="inlineStr">
        <is>
          <t>Clean</t>
        </is>
      </c>
    </row>
    <row r="38">
      <c r="A38" s="9">
        <f>IF(Raw_Data!A43="","Missing",Raw_Data!A43)</f>
        <v/>
      </c>
      <c r="B38" s="10">
        <f>IF(Raw_Data!B43="",DATE(2024,1,1),Raw_Data!B43)</f>
        <v/>
      </c>
      <c r="C38" s="11">
        <f>TRIM(IF(Raw_Data!C43="","Unknown Customer",Raw_Data!C43))</f>
        <v/>
      </c>
      <c r="D38" s="11">
        <f>IF(Raw_Data!D43="","Unknown Product",Raw_Data!D43)</f>
        <v/>
      </c>
      <c r="E38" s="12">
        <f>ABS(Raw_Data!E43)</f>
        <v/>
      </c>
      <c r="F38" s="13">
        <f>Raw_Data!F43</f>
        <v/>
      </c>
      <c r="G38" s="13">
        <f>E38*F38</f>
        <v/>
      </c>
      <c r="H38" s="34">
        <f>IFERROR(XLOOKUP(Raw_Data!A43,Raw_Data!A:A,Raw_Data!H:H),"N/A")</f>
        <v/>
      </c>
      <c r="I38" s="35" t="inlineStr">
        <is>
          <t>Clean</t>
        </is>
      </c>
    </row>
    <row r="39">
      <c r="A39" s="36">
        <f>IF(Raw_Data!A44="","Missing",Raw_Data!A44)</f>
        <v/>
      </c>
      <c r="B39" s="37">
        <f>IF(Raw_Data!B44="",DATE(2024,1,1),Raw_Data!B44)</f>
        <v/>
      </c>
      <c r="C39" s="38">
        <f>TRIM(IF(Raw_Data!C44="","Unknown Customer",Raw_Data!C44))</f>
        <v/>
      </c>
      <c r="D39" s="38">
        <f>IF(Raw_Data!D44="","Unknown Product",Raw_Data!D44)</f>
        <v/>
      </c>
      <c r="E39" s="39">
        <f>ABS(Raw_Data!E44)</f>
        <v/>
      </c>
      <c r="F39" s="40">
        <f>Raw_Data!F44</f>
        <v/>
      </c>
      <c r="G39" s="41">
        <f>E39*F39</f>
        <v/>
      </c>
      <c r="H39" s="42">
        <f>IFERROR(XLOOKUP(Raw_Data!A44,Raw_Data!A:A,Raw_Data!H:H),"N/A")</f>
        <v/>
      </c>
      <c r="I39" s="14" t="inlineStr">
        <is>
          <t>Fixed</t>
        </is>
      </c>
    </row>
    <row r="40">
      <c r="A40" s="36">
        <f>IF(Raw_Data!A45="","Missing",Raw_Data!A45)</f>
        <v/>
      </c>
      <c r="B40" s="37">
        <f>IF(Raw_Data!B45="",DATE(2024,1,1),Raw_Data!B45)</f>
        <v/>
      </c>
      <c r="C40" s="38">
        <f>TRIM(IF(Raw_Data!C45="","Unknown Customer",Raw_Data!C45))</f>
        <v/>
      </c>
      <c r="D40" s="38">
        <f>IF(Raw_Data!D45="","Unknown Product",Raw_Data!D45)</f>
        <v/>
      </c>
      <c r="E40" s="39">
        <f>ABS(Raw_Data!E45)</f>
        <v/>
      </c>
      <c r="F40" s="40">
        <f>Raw_Data!F45</f>
        <v/>
      </c>
      <c r="G40" s="41">
        <f>E40*F40</f>
        <v/>
      </c>
      <c r="H40" s="42">
        <f>IFERROR(XLOOKUP(Raw_Data!A45,Raw_Data!A:A,Raw_Data!H:H),"N/A")</f>
        <v/>
      </c>
      <c r="I40" s="14" t="inlineStr">
        <is>
          <t>Fixed</t>
        </is>
      </c>
    </row>
    <row r="41">
      <c r="A41" s="36">
        <f>IF(Raw_Data!A46="","Missing",Raw_Data!A46)</f>
        <v/>
      </c>
      <c r="B41" s="37">
        <f>IF(Raw_Data!B46="",DATE(2024,1,1),Raw_Data!B46)</f>
        <v/>
      </c>
      <c r="C41" s="38">
        <f>TRIM(IF(Raw_Data!C46="","Unknown Customer",Raw_Data!C46))</f>
        <v/>
      </c>
      <c r="D41" s="38">
        <f>IF(Raw_Data!D46="","Unknown Product",Raw_Data!D46)</f>
        <v/>
      </c>
      <c r="E41" s="39">
        <f>ABS(Raw_Data!E46)</f>
        <v/>
      </c>
      <c r="F41" s="40">
        <f>Raw_Data!F46</f>
        <v/>
      </c>
      <c r="G41" s="41">
        <f>E41*F41</f>
        <v/>
      </c>
      <c r="H41" s="42">
        <f>IFERROR(XLOOKUP(Raw_Data!A46,Raw_Data!A:A,Raw_Data!H:H),"N/A")</f>
        <v/>
      </c>
      <c r="I41" s="14" t="inlineStr">
        <is>
          <t>Fixed</t>
        </is>
      </c>
    </row>
    <row r="42">
      <c r="A42" s="36">
        <f>IF(Raw_Data!A47="","Missing",Raw_Data!A47)</f>
        <v/>
      </c>
      <c r="B42" s="37">
        <f>IF(Raw_Data!B47="",DATE(2024,1,1),Raw_Data!B47)</f>
        <v/>
      </c>
      <c r="C42" s="38">
        <f>TRIM(IF(Raw_Data!C47="","Unknown Customer",Raw_Data!C47))</f>
        <v/>
      </c>
      <c r="D42" s="38">
        <f>IF(Raw_Data!D47="","Unknown Product",Raw_Data!D47)</f>
        <v/>
      </c>
      <c r="E42" s="39">
        <f>ABS(Raw_Data!E47)</f>
        <v/>
      </c>
      <c r="F42" s="40">
        <f>Raw_Data!F47</f>
        <v/>
      </c>
      <c r="G42" s="41">
        <f>E42*F42</f>
        <v/>
      </c>
      <c r="H42" s="42">
        <f>IFERROR(XLOOKUP(Raw_Data!A47,Raw_Data!A:A,Raw_Data!H:H),"N/A")</f>
        <v/>
      </c>
      <c r="I42" s="14" t="inlineStr">
        <is>
          <t>Fixed</t>
        </is>
      </c>
    </row>
    <row r="43">
      <c r="A43" s="3">
        <f>IF(Raw_Data!A48="","Missing",Raw_Data!A48)</f>
        <v/>
      </c>
      <c r="B43" s="4">
        <f>IF(Raw_Data!B48="",DATE(2024,1,1),Raw_Data!B48)</f>
        <v/>
      </c>
      <c r="C43" s="5">
        <f>TRIM(IF(Raw_Data!C48="","Unknown Customer",Raw_Data!C48))</f>
        <v/>
      </c>
      <c r="D43" s="5">
        <f>IF(Raw_Data!D48="","Unknown Product",Raw_Data!D48)</f>
        <v/>
      </c>
      <c r="E43" s="6">
        <f>ABS(Raw_Data!E48)</f>
        <v/>
      </c>
      <c r="F43" s="7">
        <f>Raw_Data!F48</f>
        <v/>
      </c>
      <c r="G43" s="7">
        <f>E43*F43</f>
        <v/>
      </c>
      <c r="H43" s="32">
        <f>IFERROR(XLOOKUP(Raw_Data!A48,Raw_Data!A:A,Raw_Data!H:H),"N/A")</f>
        <v/>
      </c>
      <c r="I43" s="33" t="inlineStr">
        <is>
          <t>Clean</t>
        </is>
      </c>
    </row>
    <row r="44">
      <c r="A44" s="36">
        <f>IF(Raw_Data!A49="","Missing",Raw_Data!A49)</f>
        <v/>
      </c>
      <c r="B44" s="37">
        <f>IF(Raw_Data!B49="",DATE(2024,1,1),Raw_Data!B49)</f>
        <v/>
      </c>
      <c r="C44" s="38">
        <f>TRIM(IF(Raw_Data!C49="","Unknown Customer",Raw_Data!C49))</f>
        <v/>
      </c>
      <c r="D44" s="38">
        <f>IF(Raw_Data!D49="","Unknown Product",Raw_Data!D49)</f>
        <v/>
      </c>
      <c r="E44" s="39">
        <f>ABS(Raw_Data!E49)</f>
        <v/>
      </c>
      <c r="F44" s="40">
        <f>Raw_Data!F49</f>
        <v/>
      </c>
      <c r="G44" s="41">
        <f>E44*F44</f>
        <v/>
      </c>
      <c r="H44" s="42">
        <f>IFERROR(XLOOKUP(Raw_Data!A49,Raw_Data!A:A,Raw_Data!H:H),"N/A")</f>
        <v/>
      </c>
      <c r="I44" s="14" t="inlineStr">
        <is>
          <t>Fixed</t>
        </is>
      </c>
    </row>
    <row r="45">
      <c r="A45" s="3">
        <f>IF(Raw_Data!A50="","Missing",Raw_Data!A50)</f>
        <v/>
      </c>
      <c r="B45" s="4">
        <f>IF(Raw_Data!B50="",DATE(2024,1,1),Raw_Data!B50)</f>
        <v/>
      </c>
      <c r="C45" s="5">
        <f>TRIM(IF(Raw_Data!C50="","Unknown Customer",Raw_Data!C50))</f>
        <v/>
      </c>
      <c r="D45" s="5">
        <f>IF(Raw_Data!D50="","Unknown Product",Raw_Data!D50)</f>
        <v/>
      </c>
      <c r="E45" s="6">
        <f>ABS(Raw_Data!E50)</f>
        <v/>
      </c>
      <c r="F45" s="7">
        <f>Raw_Data!F50</f>
        <v/>
      </c>
      <c r="G45" s="7">
        <f>E45*F45</f>
        <v/>
      </c>
      <c r="H45" s="32">
        <f>IFERROR(XLOOKUP(Raw_Data!A50,Raw_Data!A:A,Raw_Data!H:H),"N/A")</f>
        <v/>
      </c>
      <c r="I45" s="33" t="inlineStr">
        <is>
          <t>Clean</t>
        </is>
      </c>
    </row>
    <row r="46">
      <c r="A46" s="9">
        <f>IF(Raw_Data!A52="","Missing",Raw_Data!A52)</f>
        <v/>
      </c>
      <c r="B46" s="10">
        <f>IF(Raw_Data!B52="",DATE(2024,1,1),Raw_Data!B52)</f>
        <v/>
      </c>
      <c r="C46" s="11">
        <f>TRIM(IF(Raw_Data!C52="","Unknown Customer",Raw_Data!C52))</f>
        <v/>
      </c>
      <c r="D46" s="11">
        <f>IF(Raw_Data!D52="","Unknown Product",Raw_Data!D52)</f>
        <v/>
      </c>
      <c r="E46" s="12">
        <f>ABS(Raw_Data!E52)</f>
        <v/>
      </c>
      <c r="F46" s="13">
        <f>Raw_Data!F52</f>
        <v/>
      </c>
      <c r="G46" s="13">
        <f>E46*F46</f>
        <v/>
      </c>
      <c r="H46" s="34">
        <f>IFERROR(XLOOKUP(Raw_Data!A52,Raw_Data!A:A,Raw_Data!H:H),"N/A")</f>
        <v/>
      </c>
      <c r="I46" s="35" t="inlineStr">
        <is>
          <t>Clean</t>
        </is>
      </c>
    </row>
    <row r="47">
      <c r="A47" s="36">
        <f>IF(Raw_Data!A53="","Missing",Raw_Data!A53)</f>
        <v/>
      </c>
      <c r="B47" s="37">
        <f>IF(Raw_Data!B53="",DATE(2024,1,1),Raw_Data!B53)</f>
        <v/>
      </c>
      <c r="C47" s="38">
        <f>TRIM(IF(Raw_Data!C53="","Unknown Customer",Raw_Data!C53))</f>
        <v/>
      </c>
      <c r="D47" s="38">
        <f>IF(Raw_Data!D53="","Unknown Product",Raw_Data!D53)</f>
        <v/>
      </c>
      <c r="E47" s="39">
        <f>ABS(Raw_Data!E53)</f>
        <v/>
      </c>
      <c r="F47" s="40">
        <f>Raw_Data!F53</f>
        <v/>
      </c>
      <c r="G47" s="41">
        <f>E47*F47</f>
        <v/>
      </c>
      <c r="H47" s="42">
        <f>IFERROR(XLOOKUP(Raw_Data!A53,Raw_Data!A:A,Raw_Data!H:H),"N/A")</f>
        <v/>
      </c>
      <c r="I47" s="14" t="inlineStr">
        <is>
          <t>Fixed</t>
        </is>
      </c>
    </row>
    <row r="48">
      <c r="A48" s="36">
        <f>IF(Raw_Data!A54="","Missing",Raw_Data!A54)</f>
        <v/>
      </c>
      <c r="B48" s="37">
        <f>IF(Raw_Data!B54="",DATE(2024,1,1),Raw_Data!B54)</f>
        <v/>
      </c>
      <c r="C48" s="38">
        <f>TRIM(IF(Raw_Data!C54="","Unknown Customer",Raw_Data!C54))</f>
        <v/>
      </c>
      <c r="D48" s="38">
        <f>IF(Raw_Data!D54="","Unknown Product",Raw_Data!D54)</f>
        <v/>
      </c>
      <c r="E48" s="39">
        <f>ABS(Raw_Data!E54)</f>
        <v/>
      </c>
      <c r="F48" s="40">
        <f>Raw_Data!F54</f>
        <v/>
      </c>
      <c r="G48" s="41">
        <f>E48*F48</f>
        <v/>
      </c>
      <c r="H48" s="42">
        <f>IFERROR(XLOOKUP(Raw_Data!A54,Raw_Data!A:A,Raw_Data!H:H),"N/A")</f>
        <v/>
      </c>
      <c r="I48" s="14" t="inlineStr">
        <is>
          <t>Fixed</t>
        </is>
      </c>
    </row>
    <row r="49">
      <c r="A49" s="3">
        <f>IF(Raw_Data!A55="","Missing",Raw_Data!A55)</f>
        <v/>
      </c>
      <c r="B49" s="4">
        <f>IF(Raw_Data!B55="",DATE(2024,1,1),Raw_Data!B55)</f>
        <v/>
      </c>
      <c r="C49" s="5">
        <f>TRIM(IF(Raw_Data!C55="","Unknown Customer",Raw_Data!C55))</f>
        <v/>
      </c>
      <c r="D49" s="5">
        <f>IF(Raw_Data!D55="","Unknown Product",Raw_Data!D55)</f>
        <v/>
      </c>
      <c r="E49" s="6">
        <f>ABS(Raw_Data!E55)</f>
        <v/>
      </c>
      <c r="F49" s="7">
        <f>Raw_Data!F55</f>
        <v/>
      </c>
      <c r="G49" s="7">
        <f>E49*F49</f>
        <v/>
      </c>
      <c r="H49" s="32">
        <f>IFERROR(XLOOKUP(Raw_Data!A55,Raw_Data!A:A,Raw_Data!H:H),"N/A")</f>
        <v/>
      </c>
      <c r="I49" s="33" t="inlineStr">
        <is>
          <t>Clean</t>
        </is>
      </c>
    </row>
    <row r="50">
      <c r="A50" s="9">
        <f>IF(Raw_Data!A57="","Missing",Raw_Data!A57)</f>
        <v/>
      </c>
      <c r="B50" s="10">
        <f>IF(Raw_Data!B57="",DATE(2024,1,1),Raw_Data!B57)</f>
        <v/>
      </c>
      <c r="C50" s="11">
        <f>TRIM(IF(Raw_Data!C57="","Unknown Customer",Raw_Data!C57))</f>
        <v/>
      </c>
      <c r="D50" s="11">
        <f>IF(Raw_Data!D57="","Unknown Product",Raw_Data!D57)</f>
        <v/>
      </c>
      <c r="E50" s="12">
        <f>ABS(Raw_Data!E57)</f>
        <v/>
      </c>
      <c r="F50" s="13">
        <f>Raw_Data!F57</f>
        <v/>
      </c>
      <c r="G50" s="13">
        <f>E50*F50</f>
        <v/>
      </c>
      <c r="H50" s="34">
        <f>IFERROR(XLOOKUP(Raw_Data!A57,Raw_Data!A:A,Raw_Data!H:H),"N/A")</f>
        <v/>
      </c>
      <c r="I50" s="35" t="inlineStr">
        <is>
          <t>Clean</t>
        </is>
      </c>
    </row>
    <row r="51">
      <c r="A51" s="36">
        <f>IF(Raw_Data!A58="","Missing",Raw_Data!A58)</f>
        <v/>
      </c>
      <c r="B51" s="37">
        <f>IF(Raw_Data!B58="",DATE(2024,1,1),Raw_Data!B58)</f>
        <v/>
      </c>
      <c r="C51" s="38">
        <f>TRIM(IF(Raw_Data!C58="","Unknown Customer",Raw_Data!C58))</f>
        <v/>
      </c>
      <c r="D51" s="38">
        <f>IF(Raw_Data!D58="","Unknown Product",Raw_Data!D58)</f>
        <v/>
      </c>
      <c r="E51" s="39">
        <f>ABS(Raw_Data!E58)</f>
        <v/>
      </c>
      <c r="F51" s="40">
        <f>Raw_Data!F58</f>
        <v/>
      </c>
      <c r="G51" s="41">
        <f>E51*F51</f>
        <v/>
      </c>
      <c r="H51" s="42">
        <f>IFERROR(XLOOKUP(Raw_Data!A58,Raw_Data!A:A,Raw_Data!H:H),"N/A")</f>
        <v/>
      </c>
      <c r="I51" s="14" t="inlineStr">
        <is>
          <t>Fixed</t>
        </is>
      </c>
    </row>
    <row r="52">
      <c r="A52" s="36">
        <f>IF(Raw_Data!A59="","Missing",Raw_Data!A59)</f>
        <v/>
      </c>
      <c r="B52" s="37">
        <f>IF(Raw_Data!B59="",DATE(2024,1,1),Raw_Data!B59)</f>
        <v/>
      </c>
      <c r="C52" s="38">
        <f>TRIM(IF(Raw_Data!C59="","Unknown Customer",Raw_Data!C59))</f>
        <v/>
      </c>
      <c r="D52" s="38">
        <f>IF(Raw_Data!D59="","Unknown Product",Raw_Data!D59)</f>
        <v/>
      </c>
      <c r="E52" s="39">
        <f>ABS(Raw_Data!E59)</f>
        <v/>
      </c>
      <c r="F52" s="40">
        <f>Raw_Data!F59</f>
        <v/>
      </c>
      <c r="G52" s="41">
        <f>E52*F52</f>
        <v/>
      </c>
      <c r="H52" s="42">
        <f>IFERROR(XLOOKUP(Raw_Data!A59,Raw_Data!A:A,Raw_Data!H:H),"N/A")</f>
        <v/>
      </c>
      <c r="I52" s="14" t="inlineStr">
        <is>
          <t>Fixed</t>
        </is>
      </c>
    </row>
    <row r="53">
      <c r="A53" s="3">
        <f>IF(Raw_Data!A60="","Missing",Raw_Data!A60)</f>
        <v/>
      </c>
      <c r="B53" s="4">
        <f>IF(Raw_Data!B60="",DATE(2024,1,1),Raw_Data!B60)</f>
        <v/>
      </c>
      <c r="C53" s="5">
        <f>TRIM(IF(Raw_Data!C60="","Unknown Customer",Raw_Data!C60))</f>
        <v/>
      </c>
      <c r="D53" s="5">
        <f>IF(Raw_Data!D60="","Unknown Product",Raw_Data!D60)</f>
        <v/>
      </c>
      <c r="E53" s="6">
        <f>ABS(Raw_Data!E60)</f>
        <v/>
      </c>
      <c r="F53" s="7">
        <f>Raw_Data!F60</f>
        <v/>
      </c>
      <c r="G53" s="7">
        <f>E53*F53</f>
        <v/>
      </c>
      <c r="H53" s="32">
        <f>IFERROR(XLOOKUP(Raw_Data!A60,Raw_Data!A:A,Raw_Data!H:H),"N/A")</f>
        <v/>
      </c>
      <c r="I53" s="33" t="inlineStr">
        <is>
          <t>Clean</t>
        </is>
      </c>
    </row>
    <row r="54">
      <c r="A54" s="9">
        <f>IF(Raw_Data!A62="","Missing",Raw_Data!A62)</f>
        <v/>
      </c>
      <c r="B54" s="10">
        <f>IF(Raw_Data!B62="",DATE(2024,1,1),Raw_Data!B62)</f>
        <v/>
      </c>
      <c r="C54" s="11">
        <f>TRIM(IF(Raw_Data!C62="","Unknown Customer",Raw_Data!C62))</f>
        <v/>
      </c>
      <c r="D54" s="11">
        <f>IF(Raw_Data!D62="","Unknown Product",Raw_Data!D62)</f>
        <v/>
      </c>
      <c r="E54" s="12">
        <f>ABS(Raw_Data!E62)</f>
        <v/>
      </c>
      <c r="F54" s="13">
        <f>Raw_Data!F62</f>
        <v/>
      </c>
      <c r="G54" s="13">
        <f>E54*F54</f>
        <v/>
      </c>
      <c r="H54" s="34">
        <f>IFERROR(XLOOKUP(Raw_Data!A62,Raw_Data!A:A,Raw_Data!H:H),"N/A")</f>
        <v/>
      </c>
      <c r="I54" s="35" t="inlineStr">
        <is>
          <t>Clean</t>
        </is>
      </c>
    </row>
    <row r="55">
      <c r="A55" s="3">
        <f>IF(Raw_Data!A63="","Missing",Raw_Data!A63)</f>
        <v/>
      </c>
      <c r="B55" s="4">
        <f>IF(Raw_Data!B63="",DATE(2024,1,1),Raw_Data!B63)</f>
        <v/>
      </c>
      <c r="C55" s="5">
        <f>TRIM(IF(Raw_Data!C63="","Unknown Customer",Raw_Data!C63))</f>
        <v/>
      </c>
      <c r="D55" s="5">
        <f>IF(Raw_Data!D63="","Unknown Product",Raw_Data!D63)</f>
        <v/>
      </c>
      <c r="E55" s="6">
        <f>ABS(Raw_Data!E63)</f>
        <v/>
      </c>
      <c r="F55" s="7">
        <f>Raw_Data!F63</f>
        <v/>
      </c>
      <c r="G55" s="7">
        <f>E55*F55</f>
        <v/>
      </c>
      <c r="H55" s="32">
        <f>IFERROR(XLOOKUP(Raw_Data!A63,Raw_Data!A:A,Raw_Data!H:H),"N/A")</f>
        <v/>
      </c>
      <c r="I55" s="33" t="inlineStr">
        <is>
          <t>Clean</t>
        </is>
      </c>
    </row>
    <row r="56">
      <c r="A56" s="36">
        <f>IF(Raw_Data!A64="","Missing",Raw_Data!A64)</f>
        <v/>
      </c>
      <c r="B56" s="37">
        <f>IF(Raw_Data!B64="",DATE(2024,1,1),Raw_Data!B64)</f>
        <v/>
      </c>
      <c r="C56" s="38">
        <f>TRIM(IF(Raw_Data!C64="","Unknown Customer",Raw_Data!C64))</f>
        <v/>
      </c>
      <c r="D56" s="38">
        <f>IF(Raw_Data!D64="","Unknown Product",Raw_Data!D64)</f>
        <v/>
      </c>
      <c r="E56" s="39">
        <f>ABS(Raw_Data!E64)</f>
        <v/>
      </c>
      <c r="F56" s="40">
        <f>Raw_Data!F64</f>
        <v/>
      </c>
      <c r="G56" s="41">
        <f>E56*F56</f>
        <v/>
      </c>
      <c r="H56" s="42">
        <f>IFERROR(XLOOKUP(Raw_Data!A64,Raw_Data!A:A,Raw_Data!H:H),"N/A")</f>
        <v/>
      </c>
      <c r="I56" s="14" t="inlineStr">
        <is>
          <t>Fixed</t>
        </is>
      </c>
    </row>
    <row r="57">
      <c r="A57" s="3">
        <f>IF(Raw_Data!A65="","Missing",Raw_Data!A65)</f>
        <v/>
      </c>
      <c r="B57" s="4">
        <f>IF(Raw_Data!B65="",DATE(2024,1,1),Raw_Data!B65)</f>
        <v/>
      </c>
      <c r="C57" s="5">
        <f>TRIM(IF(Raw_Data!C65="","Unknown Customer",Raw_Data!C65))</f>
        <v/>
      </c>
      <c r="D57" s="5">
        <f>IF(Raw_Data!D65="","Unknown Product",Raw_Data!D65)</f>
        <v/>
      </c>
      <c r="E57" s="6">
        <f>ABS(Raw_Data!E65)</f>
        <v/>
      </c>
      <c r="F57" s="7">
        <f>Raw_Data!F65</f>
        <v/>
      </c>
      <c r="G57" s="7">
        <f>E57*F57</f>
        <v/>
      </c>
      <c r="H57" s="32">
        <f>IFERROR(XLOOKUP(Raw_Data!A65,Raw_Data!A:A,Raw_Data!H:H),"N/A")</f>
        <v/>
      </c>
      <c r="I57" s="33" t="inlineStr">
        <is>
          <t>Clean</t>
        </is>
      </c>
    </row>
    <row r="58">
      <c r="A58" s="9">
        <f>IF(Raw_Data!A66="","Missing",Raw_Data!A66)</f>
        <v/>
      </c>
      <c r="B58" s="10">
        <f>IF(Raw_Data!B66="",DATE(2024,1,1),Raw_Data!B66)</f>
        <v/>
      </c>
      <c r="C58" s="11">
        <f>TRIM(IF(Raw_Data!C66="","Unknown Customer",Raw_Data!C66))</f>
        <v/>
      </c>
      <c r="D58" s="11">
        <f>IF(Raw_Data!D66="","Unknown Product",Raw_Data!D66)</f>
        <v/>
      </c>
      <c r="E58" s="12">
        <f>ABS(Raw_Data!E66)</f>
        <v/>
      </c>
      <c r="F58" s="13">
        <f>Raw_Data!F66</f>
        <v/>
      </c>
      <c r="G58" s="13">
        <f>E58*F58</f>
        <v/>
      </c>
      <c r="H58" s="34">
        <f>IFERROR(XLOOKUP(Raw_Data!A66,Raw_Data!A:A,Raw_Data!H:H),"N/A")</f>
        <v/>
      </c>
      <c r="I58" s="35" t="inlineStr">
        <is>
          <t>Clean</t>
        </is>
      </c>
    </row>
    <row r="59">
      <c r="A59" s="3">
        <f>IF(Raw_Data!A67="","Missing",Raw_Data!A67)</f>
        <v/>
      </c>
      <c r="B59" s="4">
        <f>IF(Raw_Data!B67="",DATE(2024,1,1),Raw_Data!B67)</f>
        <v/>
      </c>
      <c r="C59" s="5">
        <f>TRIM(IF(Raw_Data!C67="","Unknown Customer",Raw_Data!C67))</f>
        <v/>
      </c>
      <c r="D59" s="5">
        <f>IF(Raw_Data!D67="","Unknown Product",Raw_Data!D67)</f>
        <v/>
      </c>
      <c r="E59" s="6">
        <f>ABS(Raw_Data!E67)</f>
        <v/>
      </c>
      <c r="F59" s="7">
        <f>Raw_Data!F67</f>
        <v/>
      </c>
      <c r="G59" s="7">
        <f>E59*F59</f>
        <v/>
      </c>
      <c r="H59" s="32">
        <f>IFERROR(XLOOKUP(Raw_Data!A67,Raw_Data!A:A,Raw_Data!H:H),"N/A")</f>
        <v/>
      </c>
      <c r="I59" s="33" t="inlineStr">
        <is>
          <t>Clean</t>
        </is>
      </c>
    </row>
    <row r="60">
      <c r="A60" s="9">
        <f>IF(Raw_Data!A68="","Missing",Raw_Data!A68)</f>
        <v/>
      </c>
      <c r="B60" s="10">
        <f>IF(Raw_Data!B68="",DATE(2024,1,1),Raw_Data!B68)</f>
        <v/>
      </c>
      <c r="C60" s="11">
        <f>TRIM(IF(Raw_Data!C68="","Unknown Customer",Raw_Data!C68))</f>
        <v/>
      </c>
      <c r="D60" s="11">
        <f>IF(Raw_Data!D68="","Unknown Product",Raw_Data!D68)</f>
        <v/>
      </c>
      <c r="E60" s="12">
        <f>ABS(Raw_Data!E68)</f>
        <v/>
      </c>
      <c r="F60" s="13">
        <f>Raw_Data!F68</f>
        <v/>
      </c>
      <c r="G60" s="13">
        <f>E60*F60</f>
        <v/>
      </c>
      <c r="H60" s="34">
        <f>IFERROR(XLOOKUP(Raw_Data!A68,Raw_Data!A:A,Raw_Data!H:H),"N/A")</f>
        <v/>
      </c>
      <c r="I60" s="35" t="inlineStr">
        <is>
          <t>Clean</t>
        </is>
      </c>
    </row>
    <row r="61">
      <c r="A61" s="36">
        <f>IF(Raw_Data!A69="","Missing",Raw_Data!A69)</f>
        <v/>
      </c>
      <c r="B61" s="37">
        <f>IF(Raw_Data!B69="",DATE(2024,1,1),Raw_Data!B69)</f>
        <v/>
      </c>
      <c r="C61" s="38">
        <f>TRIM(IF(Raw_Data!C69="","Unknown Customer",Raw_Data!C69))</f>
        <v/>
      </c>
      <c r="D61" s="38">
        <f>IF(Raw_Data!D69="","Unknown Product",Raw_Data!D69)</f>
        <v/>
      </c>
      <c r="E61" s="39">
        <f>ABS(Raw_Data!E69)</f>
        <v/>
      </c>
      <c r="F61" s="40">
        <f>Raw_Data!F69</f>
        <v/>
      </c>
      <c r="G61" s="41">
        <f>E61*F61</f>
        <v/>
      </c>
      <c r="H61" s="42">
        <f>IFERROR(XLOOKUP(Raw_Data!A69,Raw_Data!A:A,Raw_Data!H:H),"N/A")</f>
        <v/>
      </c>
      <c r="I61" s="14" t="inlineStr">
        <is>
          <t>Fixed</t>
        </is>
      </c>
    </row>
    <row r="62">
      <c r="A62" s="9">
        <f>IF(Raw_Data!A70="","Missing",Raw_Data!A70)</f>
        <v/>
      </c>
      <c r="B62" s="10">
        <f>IF(Raw_Data!B70="",DATE(2024,1,1),Raw_Data!B70)</f>
        <v/>
      </c>
      <c r="C62" s="11">
        <f>TRIM(IF(Raw_Data!C70="","Unknown Customer",Raw_Data!C70))</f>
        <v/>
      </c>
      <c r="D62" s="11">
        <f>IF(Raw_Data!D70="","Unknown Product",Raw_Data!D70)</f>
        <v/>
      </c>
      <c r="E62" s="12">
        <f>ABS(Raw_Data!E70)</f>
        <v/>
      </c>
      <c r="F62" s="13">
        <f>Raw_Data!F70</f>
        <v/>
      </c>
      <c r="G62" s="13">
        <f>E62*F62</f>
        <v/>
      </c>
      <c r="H62" s="34">
        <f>IFERROR(XLOOKUP(Raw_Data!A70,Raw_Data!A:A,Raw_Data!H:H),"N/A")</f>
        <v/>
      </c>
      <c r="I62" s="35" t="inlineStr">
        <is>
          <t>Clean</t>
        </is>
      </c>
    </row>
    <row r="63">
      <c r="A63" s="3">
        <f>IF(Raw_Data!A72="","Missing",Raw_Data!A72)</f>
        <v/>
      </c>
      <c r="B63" s="4">
        <f>IF(Raw_Data!B72="",DATE(2024,1,1),Raw_Data!B72)</f>
        <v/>
      </c>
      <c r="C63" s="5">
        <f>TRIM(IF(Raw_Data!C72="","Unknown Customer",Raw_Data!C72))</f>
        <v/>
      </c>
      <c r="D63" s="5">
        <f>IF(Raw_Data!D72="","Unknown Product",Raw_Data!D72)</f>
        <v/>
      </c>
      <c r="E63" s="6">
        <f>ABS(Raw_Data!E72)</f>
        <v/>
      </c>
      <c r="F63" s="7">
        <f>Raw_Data!F72</f>
        <v/>
      </c>
      <c r="G63" s="7">
        <f>E63*F63</f>
        <v/>
      </c>
      <c r="H63" s="32">
        <f>IFERROR(XLOOKUP(Raw_Data!A72,Raw_Data!A:A,Raw_Data!H:H),"N/A")</f>
        <v/>
      </c>
      <c r="I63" s="33" t="inlineStr">
        <is>
          <t>Clean</t>
        </is>
      </c>
    </row>
    <row r="64">
      <c r="A64" s="9">
        <f>IF(Raw_Data!A73="","Missing",Raw_Data!A73)</f>
        <v/>
      </c>
      <c r="B64" s="10">
        <f>IF(Raw_Data!B73="",DATE(2024,1,1),Raw_Data!B73)</f>
        <v/>
      </c>
      <c r="C64" s="11">
        <f>TRIM(IF(Raw_Data!C73="","Unknown Customer",Raw_Data!C73))</f>
        <v/>
      </c>
      <c r="D64" s="11">
        <f>IF(Raw_Data!D73="","Unknown Product",Raw_Data!D73)</f>
        <v/>
      </c>
      <c r="E64" s="12">
        <f>ABS(Raw_Data!E73)</f>
        <v/>
      </c>
      <c r="F64" s="13">
        <f>Raw_Data!F73</f>
        <v/>
      </c>
      <c r="G64" s="13">
        <f>E64*F64</f>
        <v/>
      </c>
      <c r="H64" s="34">
        <f>IFERROR(XLOOKUP(Raw_Data!A73,Raw_Data!A:A,Raw_Data!H:H),"N/A")</f>
        <v/>
      </c>
      <c r="I64" s="35" t="inlineStr">
        <is>
          <t>Clean</t>
        </is>
      </c>
    </row>
    <row r="65">
      <c r="A65" s="36">
        <f>IF(Raw_Data!A74="","Missing",Raw_Data!A74)</f>
        <v/>
      </c>
      <c r="B65" s="37">
        <f>IF(Raw_Data!B74="",DATE(2024,1,1),Raw_Data!B74)</f>
        <v/>
      </c>
      <c r="C65" s="38">
        <f>TRIM(IF(Raw_Data!C74="","Unknown Customer",Raw_Data!C74))</f>
        <v/>
      </c>
      <c r="D65" s="38">
        <f>IF(Raw_Data!D74="","Unknown Product",Raw_Data!D74)</f>
        <v/>
      </c>
      <c r="E65" s="39">
        <f>ABS(Raw_Data!E74)</f>
        <v/>
      </c>
      <c r="F65" s="40">
        <f>Raw_Data!F74</f>
        <v/>
      </c>
      <c r="G65" s="41">
        <f>E65*F65</f>
        <v/>
      </c>
      <c r="H65" s="42">
        <f>IFERROR(XLOOKUP(Raw_Data!A74,Raw_Data!A:A,Raw_Data!H:H),"N/A")</f>
        <v/>
      </c>
      <c r="I65" s="14" t="inlineStr">
        <is>
          <t>Fixed</t>
        </is>
      </c>
    </row>
    <row r="66">
      <c r="A66" s="9">
        <f>IF(Raw_Data!A75="","Missing",Raw_Data!A75)</f>
        <v/>
      </c>
      <c r="B66" s="10">
        <f>IF(Raw_Data!B75="",DATE(2024,1,1),Raw_Data!B75)</f>
        <v/>
      </c>
      <c r="C66" s="11">
        <f>TRIM(IF(Raw_Data!C75="","Unknown Customer",Raw_Data!C75))</f>
        <v/>
      </c>
      <c r="D66" s="11">
        <f>IF(Raw_Data!D75="","Unknown Product",Raw_Data!D75)</f>
        <v/>
      </c>
      <c r="E66" s="12">
        <f>ABS(Raw_Data!E75)</f>
        <v/>
      </c>
      <c r="F66" s="13">
        <f>Raw_Data!F75</f>
        <v/>
      </c>
      <c r="G66" s="13">
        <f>E66*F66</f>
        <v/>
      </c>
      <c r="H66" s="34">
        <f>IFERROR(XLOOKUP(Raw_Data!A75,Raw_Data!A:A,Raw_Data!H:H),"N/A")</f>
        <v/>
      </c>
      <c r="I66" s="35" t="inlineStr">
        <is>
          <t>Clean</t>
        </is>
      </c>
    </row>
    <row r="67">
      <c r="A67" s="36">
        <f>IF(Raw_Data!A77="","Missing",Raw_Data!A77)</f>
        <v/>
      </c>
      <c r="B67" s="37">
        <f>IF(Raw_Data!B77="",DATE(2024,1,1),Raw_Data!B77)</f>
        <v/>
      </c>
      <c r="C67" s="38">
        <f>TRIM(IF(Raw_Data!C77="","Unknown Customer",Raw_Data!C77))</f>
        <v/>
      </c>
      <c r="D67" s="38">
        <f>IF(Raw_Data!D77="","Unknown Product",Raw_Data!D77)</f>
        <v/>
      </c>
      <c r="E67" s="39">
        <f>ABS(Raw_Data!E77)</f>
        <v/>
      </c>
      <c r="F67" s="40">
        <f>Raw_Data!F77</f>
        <v/>
      </c>
      <c r="G67" s="41">
        <f>E67*F67</f>
        <v/>
      </c>
      <c r="H67" s="42">
        <f>IFERROR(XLOOKUP(Raw_Data!A77,Raw_Data!A:A,Raw_Data!H:H),"N/A")</f>
        <v/>
      </c>
      <c r="I67" s="14" t="inlineStr">
        <is>
          <t>Fixed</t>
        </is>
      </c>
    </row>
    <row r="68">
      <c r="A68" s="9">
        <f>IF(Raw_Data!A78="","Missing",Raw_Data!A78)</f>
        <v/>
      </c>
      <c r="B68" s="10">
        <f>IF(Raw_Data!B78="",DATE(2024,1,1),Raw_Data!B78)</f>
        <v/>
      </c>
      <c r="C68" s="11">
        <f>TRIM(IF(Raw_Data!C78="","Unknown Customer",Raw_Data!C78))</f>
        <v/>
      </c>
      <c r="D68" s="11">
        <f>IF(Raw_Data!D78="","Unknown Product",Raw_Data!D78)</f>
        <v/>
      </c>
      <c r="E68" s="12">
        <f>ABS(Raw_Data!E78)</f>
        <v/>
      </c>
      <c r="F68" s="13">
        <f>Raw_Data!F78</f>
        <v/>
      </c>
      <c r="G68" s="13">
        <f>E68*F68</f>
        <v/>
      </c>
      <c r="H68" s="34">
        <f>IFERROR(XLOOKUP(Raw_Data!A78,Raw_Data!A:A,Raw_Data!H:H),"N/A")</f>
        <v/>
      </c>
      <c r="I68" s="35" t="inlineStr">
        <is>
          <t>Clean</t>
        </is>
      </c>
    </row>
    <row r="69">
      <c r="A69" s="36">
        <f>IF(Raw_Data!A79="","Missing",Raw_Data!A79)</f>
        <v/>
      </c>
      <c r="B69" s="37">
        <f>IF(Raw_Data!B79="",DATE(2024,1,1),Raw_Data!B79)</f>
        <v/>
      </c>
      <c r="C69" s="38">
        <f>TRIM(IF(Raw_Data!C79="","Unknown Customer",Raw_Data!C79))</f>
        <v/>
      </c>
      <c r="D69" s="38">
        <f>IF(Raw_Data!D79="","Unknown Product",Raw_Data!D79)</f>
        <v/>
      </c>
      <c r="E69" s="39">
        <f>ABS(Raw_Data!E79)</f>
        <v/>
      </c>
      <c r="F69" s="40">
        <f>Raw_Data!F79</f>
        <v/>
      </c>
      <c r="G69" s="41">
        <f>E69*F69</f>
        <v/>
      </c>
      <c r="H69" s="42">
        <f>IFERROR(XLOOKUP(Raw_Data!A79,Raw_Data!A:A,Raw_Data!H:H),"N/A")</f>
        <v/>
      </c>
      <c r="I69" s="14" t="inlineStr">
        <is>
          <t>Fixed</t>
        </is>
      </c>
    </row>
    <row r="70">
      <c r="A70" s="36">
        <f>IF(Raw_Data!A80="","Missing",Raw_Data!A80)</f>
        <v/>
      </c>
      <c r="B70" s="37">
        <f>IF(Raw_Data!B80="",DATE(2024,1,1),Raw_Data!B80)</f>
        <v/>
      </c>
      <c r="C70" s="38">
        <f>TRIM(IF(Raw_Data!C80="","Unknown Customer",Raw_Data!C80))</f>
        <v/>
      </c>
      <c r="D70" s="38">
        <f>IF(Raw_Data!D80="","Unknown Product",Raw_Data!D80)</f>
        <v/>
      </c>
      <c r="E70" s="39">
        <f>ABS(Raw_Data!E80)</f>
        <v/>
      </c>
      <c r="F70" s="40">
        <f>Raw_Data!F80</f>
        <v/>
      </c>
      <c r="G70" s="41">
        <f>E70*F70</f>
        <v/>
      </c>
      <c r="H70" s="42">
        <f>IFERROR(XLOOKUP(Raw_Data!A80,Raw_Data!A:A,Raw_Data!H:H),"N/A")</f>
        <v/>
      </c>
      <c r="I70" s="14" t="inlineStr">
        <is>
          <t>Fixed</t>
        </is>
      </c>
    </row>
    <row r="71">
      <c r="A71" s="3">
        <f>IF(Raw_Data!A81="","Missing",Raw_Data!A81)</f>
        <v/>
      </c>
      <c r="B71" s="4">
        <f>IF(Raw_Data!B81="",DATE(2024,1,1),Raw_Data!B81)</f>
        <v/>
      </c>
      <c r="C71" s="5">
        <f>TRIM(IF(Raw_Data!C81="","Unknown Customer",Raw_Data!C81))</f>
        <v/>
      </c>
      <c r="D71" s="5">
        <f>IF(Raw_Data!D81="","Unknown Product",Raw_Data!D81)</f>
        <v/>
      </c>
      <c r="E71" s="6">
        <f>ABS(Raw_Data!E81)</f>
        <v/>
      </c>
      <c r="F71" s="7">
        <f>Raw_Data!F81</f>
        <v/>
      </c>
      <c r="G71" s="7">
        <f>E71*F71</f>
        <v/>
      </c>
      <c r="H71" s="32">
        <f>IFERROR(XLOOKUP(Raw_Data!A81,Raw_Data!A:A,Raw_Data!H:H),"N/A")</f>
        <v/>
      </c>
      <c r="I71" s="33" t="inlineStr">
        <is>
          <t>Clean</t>
        </is>
      </c>
    </row>
    <row r="72">
      <c r="A72" s="9">
        <f>IF(Raw_Data!A82="","Missing",Raw_Data!A82)</f>
        <v/>
      </c>
      <c r="B72" s="10">
        <f>IF(Raw_Data!B82="",DATE(2024,1,1),Raw_Data!B82)</f>
        <v/>
      </c>
      <c r="C72" s="11">
        <f>TRIM(IF(Raw_Data!C82="","Unknown Customer",Raw_Data!C82))</f>
        <v/>
      </c>
      <c r="D72" s="11">
        <f>IF(Raw_Data!D82="","Unknown Product",Raw_Data!D82)</f>
        <v/>
      </c>
      <c r="E72" s="12">
        <f>ABS(Raw_Data!E82)</f>
        <v/>
      </c>
      <c r="F72" s="13">
        <f>Raw_Data!F82</f>
        <v/>
      </c>
      <c r="G72" s="13">
        <f>E72*F72</f>
        <v/>
      </c>
      <c r="H72" s="34">
        <f>IFERROR(XLOOKUP(Raw_Data!A82,Raw_Data!A:A,Raw_Data!H:H),"N/A")</f>
        <v/>
      </c>
      <c r="I72" s="35" t="inlineStr">
        <is>
          <t>Clean</t>
        </is>
      </c>
    </row>
    <row r="73">
      <c r="A73" s="3">
        <f>IF(Raw_Data!A83="","Missing",Raw_Data!A83)</f>
        <v/>
      </c>
      <c r="B73" s="4">
        <f>IF(Raw_Data!B83="",DATE(2024,1,1),Raw_Data!B83)</f>
        <v/>
      </c>
      <c r="C73" s="5">
        <f>TRIM(IF(Raw_Data!C83="","Unknown Customer",Raw_Data!C83))</f>
        <v/>
      </c>
      <c r="D73" s="5">
        <f>IF(Raw_Data!D83="","Unknown Product",Raw_Data!D83)</f>
        <v/>
      </c>
      <c r="E73" s="6">
        <f>ABS(Raw_Data!E83)</f>
        <v/>
      </c>
      <c r="F73" s="7">
        <f>Raw_Data!F83</f>
        <v/>
      </c>
      <c r="G73" s="7">
        <f>E73*F73</f>
        <v/>
      </c>
      <c r="H73" s="32">
        <f>IFERROR(XLOOKUP(Raw_Data!A83,Raw_Data!A:A,Raw_Data!H:H),"N/A")</f>
        <v/>
      </c>
      <c r="I73" s="33" t="inlineStr">
        <is>
          <t>Clean</t>
        </is>
      </c>
    </row>
    <row r="74">
      <c r="A74" s="36">
        <f>IF(Raw_Data!A84="","Missing",Raw_Data!A84)</f>
        <v/>
      </c>
      <c r="B74" s="37">
        <f>IF(Raw_Data!B84="",DATE(2024,1,1),Raw_Data!B84)</f>
        <v/>
      </c>
      <c r="C74" s="38">
        <f>TRIM(IF(Raw_Data!C84="","Unknown Customer",Raw_Data!C84))</f>
        <v/>
      </c>
      <c r="D74" s="38">
        <f>IF(Raw_Data!D84="","Unknown Product",Raw_Data!D84)</f>
        <v/>
      </c>
      <c r="E74" s="39">
        <f>ABS(Raw_Data!E84)</f>
        <v/>
      </c>
      <c r="F74" s="40">
        <f>Raw_Data!F84</f>
        <v/>
      </c>
      <c r="G74" s="41">
        <f>E74*F74</f>
        <v/>
      </c>
      <c r="H74" s="42">
        <f>IFERROR(XLOOKUP(Raw_Data!A84,Raw_Data!A:A,Raw_Data!H:H),"N/A")</f>
        <v/>
      </c>
      <c r="I74" s="14" t="inlineStr">
        <is>
          <t>Fixed</t>
        </is>
      </c>
    </row>
    <row r="75">
      <c r="A75" s="36">
        <f>IF(Raw_Data!A85="","Missing",Raw_Data!A85)</f>
        <v/>
      </c>
      <c r="B75" s="37">
        <f>IF(Raw_Data!B85="",DATE(2024,1,1),Raw_Data!B85)</f>
        <v/>
      </c>
      <c r="C75" s="38">
        <f>TRIM(IF(Raw_Data!C85="","Unknown Customer",Raw_Data!C85))</f>
        <v/>
      </c>
      <c r="D75" s="38">
        <f>IF(Raw_Data!D85="","Unknown Product",Raw_Data!D85)</f>
        <v/>
      </c>
      <c r="E75" s="39">
        <f>ABS(Raw_Data!E85)</f>
        <v/>
      </c>
      <c r="F75" s="40">
        <f>Raw_Data!F85</f>
        <v/>
      </c>
      <c r="G75" s="41">
        <f>E75*F75</f>
        <v/>
      </c>
      <c r="H75" s="42">
        <f>IFERROR(XLOOKUP(Raw_Data!A85,Raw_Data!A:A,Raw_Data!H:H),"N/A")</f>
        <v/>
      </c>
      <c r="I75" s="14" t="inlineStr">
        <is>
          <t>Fixed</t>
        </is>
      </c>
    </row>
    <row r="76">
      <c r="A76" s="9">
        <f>IF(Raw_Data!A86="","Missing",Raw_Data!A86)</f>
        <v/>
      </c>
      <c r="B76" s="10">
        <f>IF(Raw_Data!B86="",DATE(2024,1,1),Raw_Data!B86)</f>
        <v/>
      </c>
      <c r="C76" s="11">
        <f>TRIM(IF(Raw_Data!C86="","Unknown Customer",Raw_Data!C86))</f>
        <v/>
      </c>
      <c r="D76" s="11">
        <f>IF(Raw_Data!D86="","Unknown Product",Raw_Data!D86)</f>
        <v/>
      </c>
      <c r="E76" s="12">
        <f>ABS(Raw_Data!E86)</f>
        <v/>
      </c>
      <c r="F76" s="13">
        <f>Raw_Data!F86</f>
        <v/>
      </c>
      <c r="G76" s="13">
        <f>E76*F76</f>
        <v/>
      </c>
      <c r="H76" s="34">
        <f>IFERROR(XLOOKUP(Raw_Data!A86,Raw_Data!A:A,Raw_Data!H:H),"N/A")</f>
        <v/>
      </c>
      <c r="I76" s="35" t="inlineStr">
        <is>
          <t>Clean</t>
        </is>
      </c>
    </row>
    <row r="77">
      <c r="A77" s="3">
        <f>IF(Raw_Data!A87="","Missing",Raw_Data!A87)</f>
        <v/>
      </c>
      <c r="B77" s="4">
        <f>IF(Raw_Data!B87="",DATE(2024,1,1),Raw_Data!B87)</f>
        <v/>
      </c>
      <c r="C77" s="5">
        <f>TRIM(IF(Raw_Data!C87="","Unknown Customer",Raw_Data!C87))</f>
        <v/>
      </c>
      <c r="D77" s="5">
        <f>IF(Raw_Data!D87="","Unknown Product",Raw_Data!D87)</f>
        <v/>
      </c>
      <c r="E77" s="6">
        <f>ABS(Raw_Data!E87)</f>
        <v/>
      </c>
      <c r="F77" s="7">
        <f>Raw_Data!F87</f>
        <v/>
      </c>
      <c r="G77" s="7">
        <f>E77*F77</f>
        <v/>
      </c>
      <c r="H77" s="32">
        <f>IFERROR(XLOOKUP(Raw_Data!A87,Raw_Data!A:A,Raw_Data!H:H),"N/A")</f>
        <v/>
      </c>
      <c r="I77" s="33" t="inlineStr">
        <is>
          <t>Clean</t>
        </is>
      </c>
    </row>
    <row r="78">
      <c r="A78" s="9">
        <f>IF(Raw_Data!A88="","Missing",Raw_Data!A88)</f>
        <v/>
      </c>
      <c r="B78" s="10">
        <f>IF(Raw_Data!B88="",DATE(2024,1,1),Raw_Data!B88)</f>
        <v/>
      </c>
      <c r="C78" s="11">
        <f>TRIM(IF(Raw_Data!C88="","Unknown Customer",Raw_Data!C88))</f>
        <v/>
      </c>
      <c r="D78" s="11">
        <f>IF(Raw_Data!D88="","Unknown Product",Raw_Data!D88)</f>
        <v/>
      </c>
      <c r="E78" s="12">
        <f>ABS(Raw_Data!E88)</f>
        <v/>
      </c>
      <c r="F78" s="13">
        <f>Raw_Data!F88</f>
        <v/>
      </c>
      <c r="G78" s="13">
        <f>E78*F78</f>
        <v/>
      </c>
      <c r="H78" s="34">
        <f>IFERROR(XLOOKUP(Raw_Data!A88,Raw_Data!A:A,Raw_Data!H:H),"N/A")</f>
        <v/>
      </c>
      <c r="I78" s="35" t="inlineStr">
        <is>
          <t>Clean</t>
        </is>
      </c>
    </row>
    <row r="79">
      <c r="A79" s="36">
        <f>IF(Raw_Data!A89="","Missing",Raw_Data!A89)</f>
        <v/>
      </c>
      <c r="B79" s="37">
        <f>IF(Raw_Data!B89="",DATE(2024,1,1),Raw_Data!B89)</f>
        <v/>
      </c>
      <c r="C79" s="38">
        <f>TRIM(IF(Raw_Data!C89="","Unknown Customer",Raw_Data!C89))</f>
        <v/>
      </c>
      <c r="D79" s="38">
        <f>IF(Raw_Data!D89="","Unknown Product",Raw_Data!D89)</f>
        <v/>
      </c>
      <c r="E79" s="39">
        <f>ABS(Raw_Data!E89)</f>
        <v/>
      </c>
      <c r="F79" s="40">
        <f>Raw_Data!F89</f>
        <v/>
      </c>
      <c r="G79" s="41">
        <f>E79*F79</f>
        <v/>
      </c>
      <c r="H79" s="42">
        <f>IFERROR(XLOOKUP(Raw_Data!A89,Raw_Data!A:A,Raw_Data!H:H),"N/A")</f>
        <v/>
      </c>
      <c r="I79" s="14" t="inlineStr">
        <is>
          <t>Fixed</t>
        </is>
      </c>
    </row>
    <row r="80">
      <c r="A80" s="9">
        <f>IF(Raw_Data!A90="","Missing",Raw_Data!A90)</f>
        <v/>
      </c>
      <c r="B80" s="10">
        <f>IF(Raw_Data!B90="",DATE(2024,1,1),Raw_Data!B90)</f>
        <v/>
      </c>
      <c r="C80" s="11">
        <f>TRIM(IF(Raw_Data!C90="","Unknown Customer",Raw_Data!C90))</f>
        <v/>
      </c>
      <c r="D80" s="11">
        <f>IF(Raw_Data!D90="","Unknown Product",Raw_Data!D90)</f>
        <v/>
      </c>
      <c r="E80" s="12">
        <f>ABS(Raw_Data!E90)</f>
        <v/>
      </c>
      <c r="F80" s="13">
        <f>Raw_Data!F90</f>
        <v/>
      </c>
      <c r="G80" s="13">
        <f>E80*F80</f>
        <v/>
      </c>
      <c r="H80" s="34">
        <f>IFERROR(XLOOKUP(Raw_Data!A90,Raw_Data!A:A,Raw_Data!H:H),"N/A")</f>
        <v/>
      </c>
      <c r="I80" s="35" t="inlineStr">
        <is>
          <t>Clean</t>
        </is>
      </c>
    </row>
    <row r="81">
      <c r="A81" s="36">
        <f>IF(Raw_Data!A91="","Missing",Raw_Data!A91)</f>
        <v/>
      </c>
      <c r="B81" s="37">
        <f>IF(Raw_Data!B91="",DATE(2024,1,1),Raw_Data!B91)</f>
        <v/>
      </c>
      <c r="C81" s="38">
        <f>TRIM(IF(Raw_Data!C91="","Unknown Customer",Raw_Data!C91))</f>
        <v/>
      </c>
      <c r="D81" s="38">
        <f>IF(Raw_Data!D91="","Unknown Product",Raw_Data!D91)</f>
        <v/>
      </c>
      <c r="E81" s="39">
        <f>ABS(Raw_Data!E91)</f>
        <v/>
      </c>
      <c r="F81" s="40">
        <f>Raw_Data!F91</f>
        <v/>
      </c>
      <c r="G81" s="41">
        <f>E81*F81</f>
        <v/>
      </c>
      <c r="H81" s="42">
        <f>IFERROR(XLOOKUP(Raw_Data!A91,Raw_Data!A:A,Raw_Data!H:H),"N/A")</f>
        <v/>
      </c>
      <c r="I81" s="14" t="inlineStr">
        <is>
          <t>Fixed</t>
        </is>
      </c>
    </row>
    <row r="82">
      <c r="A82" s="9">
        <f>IF(Raw_Data!A92="","Missing",Raw_Data!A92)</f>
        <v/>
      </c>
      <c r="B82" s="10">
        <f>IF(Raw_Data!B92="",DATE(2024,1,1),Raw_Data!B92)</f>
        <v/>
      </c>
      <c r="C82" s="11">
        <f>TRIM(IF(Raw_Data!C92="","Unknown Customer",Raw_Data!C92))</f>
        <v/>
      </c>
      <c r="D82" s="11">
        <f>IF(Raw_Data!D92="","Unknown Product",Raw_Data!D92)</f>
        <v/>
      </c>
      <c r="E82" s="12">
        <f>ABS(Raw_Data!E92)</f>
        <v/>
      </c>
      <c r="F82" s="13">
        <f>Raw_Data!F92</f>
        <v/>
      </c>
      <c r="G82" s="13">
        <f>E82*F82</f>
        <v/>
      </c>
      <c r="H82" s="34">
        <f>IFERROR(XLOOKUP(Raw_Data!A92,Raw_Data!A:A,Raw_Data!H:H),"N/A")</f>
        <v/>
      </c>
      <c r="I82" s="35" t="inlineStr">
        <is>
          <t>Clean</t>
        </is>
      </c>
    </row>
    <row r="83">
      <c r="A83" s="36">
        <f>IF(Raw_Data!A93="","Missing",Raw_Data!A93)</f>
        <v/>
      </c>
      <c r="B83" s="37">
        <f>IF(Raw_Data!B93="",DATE(2024,1,1),Raw_Data!B93)</f>
        <v/>
      </c>
      <c r="C83" s="38">
        <f>TRIM(IF(Raw_Data!C93="","Unknown Customer",Raw_Data!C93))</f>
        <v/>
      </c>
      <c r="D83" s="38">
        <f>IF(Raw_Data!D93="","Unknown Product",Raw_Data!D93)</f>
        <v/>
      </c>
      <c r="E83" s="39">
        <f>ABS(Raw_Data!E93)</f>
        <v/>
      </c>
      <c r="F83" s="40">
        <f>Raw_Data!F93</f>
        <v/>
      </c>
      <c r="G83" s="41">
        <f>E83*F83</f>
        <v/>
      </c>
      <c r="H83" s="42">
        <f>IFERROR(XLOOKUP(Raw_Data!A93,Raw_Data!A:A,Raw_Data!H:H),"N/A")</f>
        <v/>
      </c>
      <c r="I83" s="14" t="inlineStr">
        <is>
          <t>Fixed</t>
        </is>
      </c>
    </row>
    <row r="84">
      <c r="A84" s="36">
        <f>IF(Raw_Data!A94="","Missing",Raw_Data!A94)</f>
        <v/>
      </c>
      <c r="B84" s="37">
        <f>IF(Raw_Data!B94="",DATE(2024,1,1),Raw_Data!B94)</f>
        <v/>
      </c>
      <c r="C84" s="38">
        <f>TRIM(IF(Raw_Data!C94="","Unknown Customer",Raw_Data!C94))</f>
        <v/>
      </c>
      <c r="D84" s="38">
        <f>IF(Raw_Data!D94="","Unknown Product",Raw_Data!D94)</f>
        <v/>
      </c>
      <c r="E84" s="39">
        <f>ABS(Raw_Data!E94)</f>
        <v/>
      </c>
      <c r="F84" s="40">
        <f>Raw_Data!F94</f>
        <v/>
      </c>
      <c r="G84" s="41">
        <f>E84*F84</f>
        <v/>
      </c>
      <c r="H84" s="42">
        <f>IFERROR(XLOOKUP(Raw_Data!A94,Raw_Data!A:A,Raw_Data!H:H),"N/A")</f>
        <v/>
      </c>
      <c r="I84" s="14" t="inlineStr">
        <is>
          <t>Fixed</t>
        </is>
      </c>
    </row>
    <row r="85">
      <c r="A85" s="3">
        <f>IF(Raw_Data!A95="","Missing",Raw_Data!A95)</f>
        <v/>
      </c>
      <c r="B85" s="4">
        <f>IF(Raw_Data!B95="",DATE(2024,1,1),Raw_Data!B95)</f>
        <v/>
      </c>
      <c r="C85" s="5">
        <f>TRIM(IF(Raw_Data!C95="","Unknown Customer",Raw_Data!C95))</f>
        <v/>
      </c>
      <c r="D85" s="5">
        <f>IF(Raw_Data!D95="","Unknown Product",Raw_Data!D95)</f>
        <v/>
      </c>
      <c r="E85" s="6">
        <f>ABS(Raw_Data!E95)</f>
        <v/>
      </c>
      <c r="F85" s="7">
        <f>Raw_Data!F95</f>
        <v/>
      </c>
      <c r="G85" s="7">
        <f>E85*F85</f>
        <v/>
      </c>
      <c r="H85" s="32">
        <f>IFERROR(XLOOKUP(Raw_Data!A95,Raw_Data!A:A,Raw_Data!H:H),"N/A")</f>
        <v/>
      </c>
      <c r="I85" s="33" t="inlineStr">
        <is>
          <t>Clean</t>
        </is>
      </c>
    </row>
    <row r="86">
      <c r="A86" s="9">
        <f>IF(Raw_Data!A96="","Missing",Raw_Data!A96)</f>
        <v/>
      </c>
      <c r="B86" s="10">
        <f>IF(Raw_Data!B96="",DATE(2024,1,1),Raw_Data!B96)</f>
        <v/>
      </c>
      <c r="C86" s="11">
        <f>TRIM(IF(Raw_Data!C96="","Unknown Customer",Raw_Data!C96))</f>
        <v/>
      </c>
      <c r="D86" s="11">
        <f>IF(Raw_Data!D96="","Unknown Product",Raw_Data!D96)</f>
        <v/>
      </c>
      <c r="E86" s="12">
        <f>ABS(Raw_Data!E96)</f>
        <v/>
      </c>
      <c r="F86" s="13">
        <f>Raw_Data!F96</f>
        <v/>
      </c>
      <c r="G86" s="13">
        <f>E86*F86</f>
        <v/>
      </c>
      <c r="H86" s="34">
        <f>IFERROR(XLOOKUP(Raw_Data!A96,Raw_Data!A:A,Raw_Data!H:H),"N/A")</f>
        <v/>
      </c>
      <c r="I86" s="35" t="inlineStr">
        <is>
          <t>Clean</t>
        </is>
      </c>
    </row>
    <row r="87">
      <c r="A87" s="3">
        <f>IF(Raw_Data!A97="","Missing",Raw_Data!A97)</f>
        <v/>
      </c>
      <c r="B87" s="4">
        <f>IF(Raw_Data!B97="",DATE(2024,1,1),Raw_Data!B97)</f>
        <v/>
      </c>
      <c r="C87" s="5">
        <f>TRIM(IF(Raw_Data!C97="","Unknown Customer",Raw_Data!C97))</f>
        <v/>
      </c>
      <c r="D87" s="5">
        <f>IF(Raw_Data!D97="","Unknown Product",Raw_Data!D97)</f>
        <v/>
      </c>
      <c r="E87" s="6">
        <f>ABS(Raw_Data!E97)</f>
        <v/>
      </c>
      <c r="F87" s="7">
        <f>Raw_Data!F97</f>
        <v/>
      </c>
      <c r="G87" s="7">
        <f>E87*F87</f>
        <v/>
      </c>
      <c r="H87" s="32">
        <f>IFERROR(XLOOKUP(Raw_Data!A97,Raw_Data!A:A,Raw_Data!H:H),"N/A")</f>
        <v/>
      </c>
      <c r="I87" s="33" t="inlineStr">
        <is>
          <t>Clean</t>
        </is>
      </c>
    </row>
    <row r="88">
      <c r="A88" s="9">
        <f>IF(Raw_Data!A98="","Missing",Raw_Data!A98)</f>
        <v/>
      </c>
      <c r="B88" s="10">
        <f>IF(Raw_Data!B98="",DATE(2024,1,1),Raw_Data!B98)</f>
        <v/>
      </c>
      <c r="C88" s="11">
        <f>TRIM(IF(Raw_Data!C98="","Unknown Customer",Raw_Data!C98))</f>
        <v/>
      </c>
      <c r="D88" s="11">
        <f>IF(Raw_Data!D98="","Unknown Product",Raw_Data!D98)</f>
        <v/>
      </c>
      <c r="E88" s="12">
        <f>ABS(Raw_Data!E98)</f>
        <v/>
      </c>
      <c r="F88" s="13">
        <f>Raw_Data!F98</f>
        <v/>
      </c>
      <c r="G88" s="13">
        <f>E88*F88</f>
        <v/>
      </c>
      <c r="H88" s="34">
        <f>IFERROR(XLOOKUP(Raw_Data!A98,Raw_Data!A:A,Raw_Data!H:H),"N/A")</f>
        <v/>
      </c>
      <c r="I88" s="35" t="inlineStr">
        <is>
          <t>Clean</t>
        </is>
      </c>
    </row>
    <row r="89">
      <c r="A89" s="36">
        <f>IF(Raw_Data!A99="","Missing",Raw_Data!A99)</f>
        <v/>
      </c>
      <c r="B89" s="37">
        <f>IF(Raw_Data!B99="",DATE(2024,1,1),Raw_Data!B99)</f>
        <v/>
      </c>
      <c r="C89" s="38">
        <f>TRIM(IF(Raw_Data!C99="","Unknown Customer",Raw_Data!C99))</f>
        <v/>
      </c>
      <c r="D89" s="38">
        <f>IF(Raw_Data!D99="","Unknown Product",Raw_Data!D99)</f>
        <v/>
      </c>
      <c r="E89" s="39">
        <f>ABS(Raw_Data!E99)</f>
        <v/>
      </c>
      <c r="F89" s="40">
        <f>Raw_Data!F99</f>
        <v/>
      </c>
      <c r="G89" s="41">
        <f>E89*F89</f>
        <v/>
      </c>
      <c r="H89" s="42">
        <f>IFERROR(XLOOKUP(Raw_Data!A99,Raw_Data!A:A,Raw_Data!H:H),"N/A")</f>
        <v/>
      </c>
      <c r="I89" s="14" t="inlineStr">
        <is>
          <t>Fixed</t>
        </is>
      </c>
    </row>
    <row r="90">
      <c r="A90" s="9">
        <f>IF(Raw_Data!A100="","Missing",Raw_Data!A100)</f>
        <v/>
      </c>
      <c r="B90" s="10">
        <f>IF(Raw_Data!B100="",DATE(2024,1,1),Raw_Data!B100)</f>
        <v/>
      </c>
      <c r="C90" s="11">
        <f>TRIM(IF(Raw_Data!C100="","Unknown Customer",Raw_Data!C100))</f>
        <v/>
      </c>
      <c r="D90" s="11">
        <f>IF(Raw_Data!D100="","Unknown Product",Raw_Data!D100)</f>
        <v/>
      </c>
      <c r="E90" s="12">
        <f>ABS(Raw_Data!E100)</f>
        <v/>
      </c>
      <c r="F90" s="13">
        <f>Raw_Data!F100</f>
        <v/>
      </c>
      <c r="G90" s="13">
        <f>E90*F90</f>
        <v/>
      </c>
      <c r="H90" s="34">
        <f>IFERROR(XLOOKUP(Raw_Data!A100,Raw_Data!A:A,Raw_Data!H:H),"N/A")</f>
        <v/>
      </c>
      <c r="I90" s="35" t="inlineStr">
        <is>
          <t>Clean</t>
        </is>
      </c>
    </row>
    <row r="91">
      <c r="A91" s="36">
        <f>IF(Raw_Data!A101="","Missing",Raw_Data!A101)</f>
        <v/>
      </c>
      <c r="B91" s="37">
        <f>IF(Raw_Data!B101="",DATE(2024,1,1),Raw_Data!B101)</f>
        <v/>
      </c>
      <c r="C91" s="38">
        <f>TRIM(IF(Raw_Data!C101="","Unknown Customer",Raw_Data!C101))</f>
        <v/>
      </c>
      <c r="D91" s="38">
        <f>IF(Raw_Data!D101="","Unknown Product",Raw_Data!D101)</f>
        <v/>
      </c>
      <c r="E91" s="39">
        <f>ABS(Raw_Data!E101)</f>
        <v/>
      </c>
      <c r="F91" s="40">
        <f>Raw_Data!F101</f>
        <v/>
      </c>
      <c r="G91" s="41">
        <f>E91*F91</f>
        <v/>
      </c>
      <c r="H91" s="42">
        <f>IFERROR(XLOOKUP(Raw_Data!A101,Raw_Data!A:A,Raw_Data!H:H),"N/A")</f>
        <v/>
      </c>
      <c r="I91" s="14" t="inlineStr">
        <is>
          <t>Fixed</t>
        </is>
      </c>
    </row>
    <row r="92">
      <c r="A92" s="9">
        <f>IF(Raw_Data!A102="","Missing",Raw_Data!A102)</f>
        <v/>
      </c>
      <c r="B92" s="10">
        <f>IF(Raw_Data!B102="",DATE(2024,1,1),Raw_Data!B102)</f>
        <v/>
      </c>
      <c r="C92" s="11">
        <f>TRIM(IF(Raw_Data!C102="","Unknown Customer",Raw_Data!C102))</f>
        <v/>
      </c>
      <c r="D92" s="11">
        <f>IF(Raw_Data!D102="","Unknown Product",Raw_Data!D102)</f>
        <v/>
      </c>
      <c r="E92" s="12">
        <f>ABS(Raw_Data!E102)</f>
        <v/>
      </c>
      <c r="F92" s="13">
        <f>Raw_Data!F102</f>
        <v/>
      </c>
      <c r="G92" s="13">
        <f>E92*F92</f>
        <v/>
      </c>
      <c r="H92" s="34">
        <f>IFERROR(XLOOKUP(Raw_Data!A102,Raw_Data!A:A,Raw_Data!H:H),"N/A")</f>
        <v/>
      </c>
      <c r="I92" s="35" t="inlineStr">
        <is>
          <t>Clean</t>
        </is>
      </c>
    </row>
    <row r="93">
      <c r="A93" s="3">
        <f>IF(Raw_Data!A103="","Missing",Raw_Data!A103)</f>
        <v/>
      </c>
      <c r="B93" s="4">
        <f>IF(Raw_Data!B103="",DATE(2024,1,1),Raw_Data!B103)</f>
        <v/>
      </c>
      <c r="C93" s="5">
        <f>TRIM(IF(Raw_Data!C103="","Unknown Customer",Raw_Data!C103))</f>
        <v/>
      </c>
      <c r="D93" s="5">
        <f>IF(Raw_Data!D103="","Unknown Product",Raw_Data!D103)</f>
        <v/>
      </c>
      <c r="E93" s="6">
        <f>ABS(Raw_Data!E103)</f>
        <v/>
      </c>
      <c r="F93" s="7">
        <f>Raw_Data!F103</f>
        <v/>
      </c>
      <c r="G93" s="7">
        <f>E93*F93</f>
        <v/>
      </c>
      <c r="H93" s="32">
        <f>IFERROR(XLOOKUP(Raw_Data!A103,Raw_Data!A:A,Raw_Data!H:H),"N/A")</f>
        <v/>
      </c>
      <c r="I93" s="33" t="inlineStr">
        <is>
          <t>Clean</t>
        </is>
      </c>
    </row>
    <row r="94">
      <c r="A94" s="36">
        <f>IF(Raw_Data!A104="","Missing",Raw_Data!A104)</f>
        <v/>
      </c>
      <c r="B94" s="37">
        <f>IF(Raw_Data!B104="",DATE(2024,1,1),Raw_Data!B104)</f>
        <v/>
      </c>
      <c r="C94" s="38">
        <f>TRIM(IF(Raw_Data!C104="","Unknown Customer",Raw_Data!C104))</f>
        <v/>
      </c>
      <c r="D94" s="38">
        <f>IF(Raw_Data!D104="","Unknown Product",Raw_Data!D104)</f>
        <v/>
      </c>
      <c r="E94" s="39">
        <f>ABS(Raw_Data!E104)</f>
        <v/>
      </c>
      <c r="F94" s="40">
        <f>Raw_Data!F104</f>
        <v/>
      </c>
      <c r="G94" s="41">
        <f>E94*F94</f>
        <v/>
      </c>
      <c r="H94" s="42">
        <f>IFERROR(XLOOKUP(Raw_Data!A104,Raw_Data!A:A,Raw_Data!H:H),"N/A")</f>
        <v/>
      </c>
      <c r="I94" s="14" t="inlineStr">
        <is>
          <t>Fixed</t>
        </is>
      </c>
    </row>
    <row r="95">
      <c r="A95" s="3">
        <f>IF(Raw_Data!A105="","Missing",Raw_Data!A105)</f>
        <v/>
      </c>
      <c r="B95" s="4">
        <f>IF(Raw_Data!B105="",DATE(2024,1,1),Raw_Data!B105)</f>
        <v/>
      </c>
      <c r="C95" s="5">
        <f>TRIM(IF(Raw_Data!C105="","Unknown Customer",Raw_Data!C105))</f>
        <v/>
      </c>
      <c r="D95" s="5">
        <f>IF(Raw_Data!D105="","Unknown Product",Raw_Data!D105)</f>
        <v/>
      </c>
      <c r="E95" s="6">
        <f>ABS(Raw_Data!E105)</f>
        <v/>
      </c>
      <c r="F95" s="7">
        <f>Raw_Data!F105</f>
        <v/>
      </c>
      <c r="G95" s="7">
        <f>E95*F95</f>
        <v/>
      </c>
      <c r="H95" s="32">
        <f>IFERROR(XLOOKUP(Raw_Data!A105,Raw_Data!A:A,Raw_Data!H:H),"N/A")</f>
        <v/>
      </c>
      <c r="I95" s="33" t="inlineStr">
        <is>
          <t>Clean</t>
        </is>
      </c>
    </row>
    <row r="96">
      <c r="A96" s="36">
        <f>IF(Raw_Data!A106="","Missing",Raw_Data!A106)</f>
        <v/>
      </c>
      <c r="B96" s="37">
        <f>IF(Raw_Data!B106="",DATE(2024,1,1),Raw_Data!B106)</f>
        <v/>
      </c>
      <c r="C96" s="38">
        <f>TRIM(IF(Raw_Data!C106="","Unknown Customer",Raw_Data!C106))</f>
        <v/>
      </c>
      <c r="D96" s="38">
        <f>IF(Raw_Data!D106="","Unknown Product",Raw_Data!D106)</f>
        <v/>
      </c>
      <c r="E96" s="39">
        <f>ABS(Raw_Data!E106)</f>
        <v/>
      </c>
      <c r="F96" s="40">
        <f>Raw_Data!F106</f>
        <v/>
      </c>
      <c r="G96" s="41">
        <f>E96*F96</f>
        <v/>
      </c>
      <c r="H96" s="42">
        <f>IFERROR(XLOOKUP(Raw_Data!A106,Raw_Data!A:A,Raw_Data!H:H),"N/A")</f>
        <v/>
      </c>
      <c r="I96" s="14" t="inlineStr">
        <is>
          <t>Fixed</t>
        </is>
      </c>
    </row>
    <row r="97">
      <c r="A97" s="3">
        <f>IF(Raw_Data!A107="","Missing",Raw_Data!A107)</f>
        <v/>
      </c>
      <c r="B97" s="4">
        <f>IF(Raw_Data!B107="",DATE(2024,1,1),Raw_Data!B107)</f>
        <v/>
      </c>
      <c r="C97" s="5">
        <f>TRIM(IF(Raw_Data!C107="","Unknown Customer",Raw_Data!C107))</f>
        <v/>
      </c>
      <c r="D97" s="5">
        <f>IF(Raw_Data!D107="","Unknown Product",Raw_Data!D107)</f>
        <v/>
      </c>
      <c r="E97" s="6">
        <f>ABS(Raw_Data!E107)</f>
        <v/>
      </c>
      <c r="F97" s="7">
        <f>Raw_Data!F107</f>
        <v/>
      </c>
      <c r="G97" s="7">
        <f>E97*F97</f>
        <v/>
      </c>
      <c r="H97" s="32">
        <f>IFERROR(XLOOKUP(Raw_Data!A107,Raw_Data!A:A,Raw_Data!H:H),"N/A")</f>
        <v/>
      </c>
      <c r="I97" s="33" t="inlineStr">
        <is>
          <t>Clean</t>
        </is>
      </c>
    </row>
    <row r="98">
      <c r="A98" s="36">
        <f>IF(Raw_Data!A108="","Missing",Raw_Data!A108)</f>
        <v/>
      </c>
      <c r="B98" s="37">
        <f>IF(Raw_Data!B108="",DATE(2024,1,1),Raw_Data!B108)</f>
        <v/>
      </c>
      <c r="C98" s="38">
        <f>TRIM(IF(Raw_Data!C108="","Unknown Customer",Raw_Data!C108))</f>
        <v/>
      </c>
      <c r="D98" s="38">
        <f>IF(Raw_Data!D108="","Unknown Product",Raw_Data!D108)</f>
        <v/>
      </c>
      <c r="E98" s="39">
        <f>ABS(Raw_Data!E108)</f>
        <v/>
      </c>
      <c r="F98" s="40">
        <f>Raw_Data!F108</f>
        <v/>
      </c>
      <c r="G98" s="41">
        <f>E98*F98</f>
        <v/>
      </c>
      <c r="H98" s="42">
        <f>IFERROR(XLOOKUP(Raw_Data!A108,Raw_Data!A:A,Raw_Data!H:H),"N/A")</f>
        <v/>
      </c>
      <c r="I98" s="14" t="inlineStr">
        <is>
          <t>Fixed</t>
        </is>
      </c>
    </row>
    <row r="99">
      <c r="A99" s="36">
        <f>IF(Raw_Data!A109="","Missing",Raw_Data!A109)</f>
        <v/>
      </c>
      <c r="B99" s="37">
        <f>IF(Raw_Data!B109="",DATE(2024,1,1),Raw_Data!B109)</f>
        <v/>
      </c>
      <c r="C99" s="38">
        <f>TRIM(IF(Raw_Data!C109="","Unknown Customer",Raw_Data!C109))</f>
        <v/>
      </c>
      <c r="D99" s="38">
        <f>IF(Raw_Data!D109="","Unknown Product",Raw_Data!D109)</f>
        <v/>
      </c>
      <c r="E99" s="39">
        <f>ABS(Raw_Data!E109)</f>
        <v/>
      </c>
      <c r="F99" s="40">
        <f>Raw_Data!F109</f>
        <v/>
      </c>
      <c r="G99" s="41">
        <f>E99*F99</f>
        <v/>
      </c>
      <c r="H99" s="42">
        <f>IFERROR(XLOOKUP(Raw_Data!A109,Raw_Data!A:A,Raw_Data!H:H),"N/A")</f>
        <v/>
      </c>
      <c r="I99" s="14" t="inlineStr">
        <is>
          <t>Fixed</t>
        </is>
      </c>
    </row>
    <row r="100">
      <c r="A100" s="9">
        <f>IF(Raw_Data!A110="","Missing",Raw_Data!A110)</f>
        <v/>
      </c>
      <c r="B100" s="10">
        <f>IF(Raw_Data!B110="",DATE(2024,1,1),Raw_Data!B110)</f>
        <v/>
      </c>
      <c r="C100" s="11">
        <f>TRIM(IF(Raw_Data!C110="","Unknown Customer",Raw_Data!C110))</f>
        <v/>
      </c>
      <c r="D100" s="11">
        <f>IF(Raw_Data!D110="","Unknown Product",Raw_Data!D110)</f>
        <v/>
      </c>
      <c r="E100" s="12">
        <f>ABS(Raw_Data!E110)</f>
        <v/>
      </c>
      <c r="F100" s="13">
        <f>Raw_Data!F110</f>
        <v/>
      </c>
      <c r="G100" s="13">
        <f>E100*F100</f>
        <v/>
      </c>
      <c r="H100" s="34">
        <f>IFERROR(XLOOKUP(Raw_Data!A110,Raw_Data!A:A,Raw_Data!H:H),"N/A")</f>
        <v/>
      </c>
      <c r="I100" s="35" t="inlineStr">
        <is>
          <t>Clean</t>
        </is>
      </c>
    </row>
    <row r="101">
      <c r="A101" s="3">
        <f>IF(Raw_Data!A111="","Missing",Raw_Data!A111)</f>
        <v/>
      </c>
      <c r="B101" s="4">
        <f>IF(Raw_Data!B111="",DATE(2024,1,1),Raw_Data!B111)</f>
        <v/>
      </c>
      <c r="C101" s="5">
        <f>TRIM(IF(Raw_Data!C111="","Unknown Customer",Raw_Data!C111))</f>
        <v/>
      </c>
      <c r="D101" s="5">
        <f>IF(Raw_Data!D111="","Unknown Product",Raw_Data!D111)</f>
        <v/>
      </c>
      <c r="E101" s="6">
        <f>ABS(Raw_Data!E111)</f>
        <v/>
      </c>
      <c r="F101" s="7">
        <f>Raw_Data!F111</f>
        <v/>
      </c>
      <c r="G101" s="7">
        <f>E101*F101</f>
        <v/>
      </c>
      <c r="H101" s="32">
        <f>IFERROR(XLOOKUP(Raw_Data!A111,Raw_Data!A:A,Raw_Data!H:H),"N/A")</f>
        <v/>
      </c>
      <c r="I101" s="33" t="inlineStr">
        <is>
          <t>Clean</t>
        </is>
      </c>
    </row>
    <row r="102">
      <c r="A102" s="9">
        <f>IF(Raw_Data!A112="","Missing",Raw_Data!A112)</f>
        <v/>
      </c>
      <c r="B102" s="10">
        <f>IF(Raw_Data!B112="",DATE(2024,1,1),Raw_Data!B112)</f>
        <v/>
      </c>
      <c r="C102" s="11">
        <f>TRIM(IF(Raw_Data!C112="","Unknown Customer",Raw_Data!C112))</f>
        <v/>
      </c>
      <c r="D102" s="11">
        <f>IF(Raw_Data!D112="","Unknown Product",Raw_Data!D112)</f>
        <v/>
      </c>
      <c r="E102" s="12">
        <f>ABS(Raw_Data!E112)</f>
        <v/>
      </c>
      <c r="F102" s="13">
        <f>Raw_Data!F112</f>
        <v/>
      </c>
      <c r="G102" s="13">
        <f>E102*F102</f>
        <v/>
      </c>
      <c r="H102" s="34">
        <f>IFERROR(XLOOKUP(Raw_Data!A112,Raw_Data!A:A,Raw_Data!H:H),"N/A")</f>
        <v/>
      </c>
      <c r="I102" s="35" t="inlineStr">
        <is>
          <t>Clean</t>
        </is>
      </c>
    </row>
    <row r="103">
      <c r="A103" s="3">
        <f>IF(Raw_Data!A113="","Missing",Raw_Data!A113)</f>
        <v/>
      </c>
      <c r="B103" s="4">
        <f>IF(Raw_Data!B113="",DATE(2024,1,1),Raw_Data!B113)</f>
        <v/>
      </c>
      <c r="C103" s="5">
        <f>TRIM(IF(Raw_Data!C113="","Unknown Customer",Raw_Data!C113))</f>
        <v/>
      </c>
      <c r="D103" s="5">
        <f>IF(Raw_Data!D113="","Unknown Product",Raw_Data!D113)</f>
        <v/>
      </c>
      <c r="E103" s="6">
        <f>ABS(Raw_Data!E113)</f>
        <v/>
      </c>
      <c r="F103" s="7">
        <f>Raw_Data!F113</f>
        <v/>
      </c>
      <c r="G103" s="7">
        <f>E103*F103</f>
        <v/>
      </c>
      <c r="H103" s="32">
        <f>IFERROR(XLOOKUP(Raw_Data!A113,Raw_Data!A:A,Raw_Data!H:H),"N/A")</f>
        <v/>
      </c>
      <c r="I103" s="33" t="inlineStr">
        <is>
          <t>Clean</t>
        </is>
      </c>
    </row>
    <row r="104">
      <c r="A104" s="36">
        <f>IF(Raw_Data!A114="","Missing",Raw_Data!A114)</f>
        <v/>
      </c>
      <c r="B104" s="37">
        <f>IF(Raw_Data!B114="",DATE(2024,1,1),Raw_Data!B114)</f>
        <v/>
      </c>
      <c r="C104" s="38">
        <f>TRIM(IF(Raw_Data!C114="","Unknown Customer",Raw_Data!C114))</f>
        <v/>
      </c>
      <c r="D104" s="38">
        <f>IF(Raw_Data!D114="","Unknown Product",Raw_Data!D114)</f>
        <v/>
      </c>
      <c r="E104" s="39">
        <f>ABS(Raw_Data!E114)</f>
        <v/>
      </c>
      <c r="F104" s="40">
        <f>Raw_Data!F114</f>
        <v/>
      </c>
      <c r="G104" s="41">
        <f>E104*F104</f>
        <v/>
      </c>
      <c r="H104" s="42">
        <f>IFERROR(XLOOKUP(Raw_Data!A114,Raw_Data!A:A,Raw_Data!H:H),"N/A")</f>
        <v/>
      </c>
      <c r="I104" s="14" t="inlineStr">
        <is>
          <t>Fixed</t>
        </is>
      </c>
    </row>
    <row r="105">
      <c r="A105" s="3">
        <f>IF(Raw_Data!A115="","Missing",Raw_Data!A115)</f>
        <v/>
      </c>
      <c r="B105" s="4">
        <f>IF(Raw_Data!B115="",DATE(2024,1,1),Raw_Data!B115)</f>
        <v/>
      </c>
      <c r="C105" s="5">
        <f>TRIM(IF(Raw_Data!C115="","Unknown Customer",Raw_Data!C115))</f>
        <v/>
      </c>
      <c r="D105" s="5">
        <f>IF(Raw_Data!D115="","Unknown Product",Raw_Data!D115)</f>
        <v/>
      </c>
      <c r="E105" s="6">
        <f>ABS(Raw_Data!E115)</f>
        <v/>
      </c>
      <c r="F105" s="7">
        <f>Raw_Data!F115</f>
        <v/>
      </c>
      <c r="G105" s="7">
        <f>E105*F105</f>
        <v/>
      </c>
      <c r="H105" s="32">
        <f>IFERROR(XLOOKUP(Raw_Data!A115,Raw_Data!A:A,Raw_Data!H:H),"N/A")</f>
        <v/>
      </c>
      <c r="I105" s="33" t="inlineStr">
        <is>
          <t>Clean</t>
        </is>
      </c>
    </row>
    <row r="106">
      <c r="A106" s="9">
        <f>IF(Raw_Data!A116="","Missing",Raw_Data!A116)</f>
        <v/>
      </c>
      <c r="B106" s="10">
        <f>IF(Raw_Data!B116="",DATE(2024,1,1),Raw_Data!B116)</f>
        <v/>
      </c>
      <c r="C106" s="11">
        <f>TRIM(IF(Raw_Data!C116="","Unknown Customer",Raw_Data!C116))</f>
        <v/>
      </c>
      <c r="D106" s="11">
        <f>IF(Raw_Data!D116="","Unknown Product",Raw_Data!D116)</f>
        <v/>
      </c>
      <c r="E106" s="12">
        <f>ABS(Raw_Data!E116)</f>
        <v/>
      </c>
      <c r="F106" s="13">
        <f>Raw_Data!F116</f>
        <v/>
      </c>
      <c r="G106" s="13">
        <f>E106*F106</f>
        <v/>
      </c>
      <c r="H106" s="34">
        <f>IFERROR(XLOOKUP(Raw_Data!A116,Raw_Data!A:A,Raw_Data!H:H),"N/A")</f>
        <v/>
      </c>
      <c r="I106" s="35" t="inlineStr">
        <is>
          <t>Clean</t>
        </is>
      </c>
    </row>
    <row r="107">
      <c r="A107" s="3">
        <f>IF(Raw_Data!A117="","Missing",Raw_Data!A117)</f>
        <v/>
      </c>
      <c r="B107" s="4">
        <f>IF(Raw_Data!B117="",DATE(2024,1,1),Raw_Data!B117)</f>
        <v/>
      </c>
      <c r="C107" s="5">
        <f>TRIM(IF(Raw_Data!C117="","Unknown Customer",Raw_Data!C117))</f>
        <v/>
      </c>
      <c r="D107" s="5">
        <f>IF(Raw_Data!D117="","Unknown Product",Raw_Data!D117)</f>
        <v/>
      </c>
      <c r="E107" s="6">
        <f>ABS(Raw_Data!E117)</f>
        <v/>
      </c>
      <c r="F107" s="7">
        <f>Raw_Data!F117</f>
        <v/>
      </c>
      <c r="G107" s="7">
        <f>E107*F107</f>
        <v/>
      </c>
      <c r="H107" s="32">
        <f>IFERROR(XLOOKUP(Raw_Data!A117,Raw_Data!A:A,Raw_Data!H:H),"N/A")</f>
        <v/>
      </c>
      <c r="I107" s="33" t="inlineStr">
        <is>
          <t>Clean</t>
        </is>
      </c>
    </row>
    <row r="108">
      <c r="A108" s="36">
        <f>IF(Raw_Data!A118="","Missing",Raw_Data!A118)</f>
        <v/>
      </c>
      <c r="B108" s="37">
        <f>IF(Raw_Data!B118="",DATE(2024,1,1),Raw_Data!B118)</f>
        <v/>
      </c>
      <c r="C108" s="38">
        <f>TRIM(IF(Raw_Data!C118="","Unknown Customer",Raw_Data!C118))</f>
        <v/>
      </c>
      <c r="D108" s="38">
        <f>IF(Raw_Data!D118="","Unknown Product",Raw_Data!D118)</f>
        <v/>
      </c>
      <c r="E108" s="39">
        <f>ABS(Raw_Data!E118)</f>
        <v/>
      </c>
      <c r="F108" s="40">
        <f>Raw_Data!F118</f>
        <v/>
      </c>
      <c r="G108" s="41">
        <f>E108*F108</f>
        <v/>
      </c>
      <c r="H108" s="42">
        <f>IFERROR(XLOOKUP(Raw_Data!A118,Raw_Data!A:A,Raw_Data!H:H),"N/A")</f>
        <v/>
      </c>
      <c r="I108" s="14" t="inlineStr">
        <is>
          <t>Fixed</t>
        </is>
      </c>
    </row>
    <row r="109">
      <c r="A109" s="36">
        <f>IF(Raw_Data!A119="","Missing",Raw_Data!A119)</f>
        <v/>
      </c>
      <c r="B109" s="37">
        <f>IF(Raw_Data!B119="",DATE(2024,1,1),Raw_Data!B119)</f>
        <v/>
      </c>
      <c r="C109" s="38">
        <f>TRIM(IF(Raw_Data!C119="","Unknown Customer",Raw_Data!C119))</f>
        <v/>
      </c>
      <c r="D109" s="38">
        <f>IF(Raw_Data!D119="","Unknown Product",Raw_Data!D119)</f>
        <v/>
      </c>
      <c r="E109" s="39">
        <f>ABS(Raw_Data!E119)</f>
        <v/>
      </c>
      <c r="F109" s="40">
        <f>Raw_Data!F119</f>
        <v/>
      </c>
      <c r="G109" s="41">
        <f>E109*F109</f>
        <v/>
      </c>
      <c r="H109" s="42">
        <f>IFERROR(XLOOKUP(Raw_Data!A119,Raw_Data!A:A,Raw_Data!H:H),"N/A")</f>
        <v/>
      </c>
      <c r="I109" s="14" t="inlineStr">
        <is>
          <t>Fixed</t>
        </is>
      </c>
    </row>
    <row r="110">
      <c r="A110" s="9">
        <f>IF(Raw_Data!A120="","Missing",Raw_Data!A120)</f>
        <v/>
      </c>
      <c r="B110" s="10">
        <f>IF(Raw_Data!B120="",DATE(2024,1,1),Raw_Data!B120)</f>
        <v/>
      </c>
      <c r="C110" s="11">
        <f>TRIM(IF(Raw_Data!C120="","Unknown Customer",Raw_Data!C120))</f>
        <v/>
      </c>
      <c r="D110" s="11">
        <f>IF(Raw_Data!D120="","Unknown Product",Raw_Data!D120)</f>
        <v/>
      </c>
      <c r="E110" s="12">
        <f>ABS(Raw_Data!E120)</f>
        <v/>
      </c>
      <c r="F110" s="13">
        <f>Raw_Data!F120</f>
        <v/>
      </c>
      <c r="G110" s="13">
        <f>E110*F110</f>
        <v/>
      </c>
      <c r="H110" s="34">
        <f>IFERROR(XLOOKUP(Raw_Data!A120,Raw_Data!A:A,Raw_Data!H:H),"N/A")</f>
        <v/>
      </c>
      <c r="I110" s="35" t="inlineStr">
        <is>
          <t>Clean</t>
        </is>
      </c>
    </row>
    <row r="111">
      <c r="A111" s="36">
        <f>IF(Raw_Data!A121="","Missing",Raw_Data!A121)</f>
        <v/>
      </c>
      <c r="B111" s="37">
        <f>IF(Raw_Data!B121="",DATE(2024,1,1),Raw_Data!B121)</f>
        <v/>
      </c>
      <c r="C111" s="38">
        <f>TRIM(IF(Raw_Data!C121="","Unknown Customer",Raw_Data!C121))</f>
        <v/>
      </c>
      <c r="D111" s="38">
        <f>IF(Raw_Data!D121="","Unknown Product",Raw_Data!D121)</f>
        <v/>
      </c>
      <c r="E111" s="39">
        <f>ABS(Raw_Data!E121)</f>
        <v/>
      </c>
      <c r="F111" s="40">
        <f>Raw_Data!F121</f>
        <v/>
      </c>
      <c r="G111" s="41">
        <f>E111*F111</f>
        <v/>
      </c>
      <c r="H111" s="42">
        <f>IFERROR(XLOOKUP(Raw_Data!A121,Raw_Data!A:A,Raw_Data!H:H),"N/A")</f>
        <v/>
      </c>
      <c r="I111" s="14" t="inlineStr">
        <is>
          <t>Fixed</t>
        </is>
      </c>
    </row>
    <row r="112">
      <c r="A112" s="36">
        <f>IF(Raw_Data!A122="","Missing",Raw_Data!A122)</f>
        <v/>
      </c>
      <c r="B112" s="37">
        <f>IF(Raw_Data!B122="",DATE(2024,1,1),Raw_Data!B122)</f>
        <v/>
      </c>
      <c r="C112" s="38">
        <f>TRIM(IF(Raw_Data!C122="","Unknown Customer",Raw_Data!C122))</f>
        <v/>
      </c>
      <c r="D112" s="38">
        <f>IF(Raw_Data!D122="","Unknown Product",Raw_Data!D122)</f>
        <v/>
      </c>
      <c r="E112" s="39">
        <f>ABS(Raw_Data!E122)</f>
        <v/>
      </c>
      <c r="F112" s="40">
        <f>Raw_Data!F122</f>
        <v/>
      </c>
      <c r="G112" s="41">
        <f>E112*F112</f>
        <v/>
      </c>
      <c r="H112" s="42">
        <f>IFERROR(XLOOKUP(Raw_Data!A122,Raw_Data!A:A,Raw_Data!H:H),"N/A")</f>
        <v/>
      </c>
      <c r="I112" s="14" t="inlineStr">
        <is>
          <t>Fixed</t>
        </is>
      </c>
    </row>
    <row r="113">
      <c r="A113" s="43" t="inlineStr">
        <is>
          <t>TOTAL (Cleaned)</t>
        </is>
      </c>
      <c r="G113" s="44">
        <f>SUM(G3:G112)</f>
        <v/>
      </c>
      <c r="H113" s="45" t="n"/>
      <c r="I113" s="45" t="n"/>
    </row>
    <row r="115">
      <c r="A115" s="21" t="inlineStr">
        <is>
          <t xml:space="preserve">  FORMULAS USED IN THIS SHEET — For Interview Reference</t>
        </is>
      </c>
    </row>
    <row r="116">
      <c r="A116" s="46" t="inlineStr">
        <is>
          <t>Column</t>
        </is>
      </c>
      <c r="B116" s="46" t="inlineStr">
        <is>
          <t>Formula Used</t>
        </is>
      </c>
      <c r="C116" s="46" t="inlineStr">
        <is>
          <t>Purpose</t>
        </is>
      </c>
    </row>
    <row r="117">
      <c r="A117" s="47" t="inlineStr">
        <is>
          <t>Column C</t>
        </is>
      </c>
      <c r="B117" s="48">
        <f>TRIM(IF(Raw_Data!C2="","Unknown Customer",Raw_Data!C2))</f>
        <v/>
      </c>
      <c r="C117" s="49" t="inlineStr">
        <is>
          <t>Removes spaces + fills blanks</t>
        </is>
      </c>
    </row>
    <row r="118">
      <c r="A118" s="50" t="inlineStr">
        <is>
          <t>Column D</t>
        </is>
      </c>
      <c r="B118" s="48">
        <f>IF(Raw_Data!D2="","Unknown Product",Raw_Data!D2)</f>
        <v/>
      </c>
      <c r="C118" s="51" t="inlineStr">
        <is>
          <t>Fills blank product names</t>
        </is>
      </c>
    </row>
    <row r="119">
      <c r="A119" s="47" t="inlineStr">
        <is>
          <t>Column E</t>
        </is>
      </c>
      <c r="B119" s="48">
        <f>ABS(Raw_Data!E2)</f>
        <v/>
      </c>
      <c r="C119" s="49" t="inlineStr">
        <is>
          <t>Converts negative qty to positive</t>
        </is>
      </c>
    </row>
    <row r="120">
      <c r="A120" s="50" t="inlineStr">
        <is>
          <t>Column G</t>
        </is>
      </c>
      <c r="B120" s="48">
        <f>E2*F2</f>
        <v/>
      </c>
      <c r="C120" s="51" t="inlineStr">
        <is>
          <t>Always recalculates correct total</t>
        </is>
      </c>
    </row>
    <row r="121">
      <c r="A121" s="47" t="inlineStr">
        <is>
          <t>Column H</t>
        </is>
      </c>
      <c r="B121" s="48">
        <f>IFERROR(XLOOKUP(A2,Raw_Data!A:A,Raw_Data!H:H),"N/A")</f>
        <v/>
      </c>
      <c r="C121" s="49" t="inlineStr">
        <is>
          <t>XLOOKUP to fetch status</t>
        </is>
      </c>
    </row>
    <row r="122">
      <c r="A122" s="50" t="inlineStr">
        <is>
          <t>Column B</t>
        </is>
      </c>
      <c r="B122" s="48">
        <f>IF(Raw_Data!B2="",DATE(2024,1,1),Raw_Data!B2)</f>
        <v/>
      </c>
      <c r="C122" s="51" t="inlineStr">
        <is>
          <t>Fills missing dates with default</t>
        </is>
      </c>
    </row>
  </sheetData>
  <autoFilter ref="A2:I112"/>
  <mergeCells count="3">
    <mergeCell ref="A1:I1"/>
    <mergeCell ref="A115:I115"/>
    <mergeCell ref="A113:F11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L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0" customWidth="1" min="5" max="5"/>
    <col width="14" customWidth="1" min="6" max="6"/>
    <col width="16" customWidth="1" min="7" max="7"/>
    <col width="14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2" customHeight="1">
      <c r="A1" s="52" t="inlineStr">
        <is>
          <t>VALIDATION CHECKS — Duplicate | Missing Value | Amount Mismatch | Additional Flags</t>
        </is>
      </c>
    </row>
    <row r="2" ht="26" customHeight="1">
      <c r="A2" s="53" t="inlineStr">
        <is>
          <t>Transaction ID</t>
        </is>
      </c>
      <c r="B2" s="53" t="inlineStr">
        <is>
          <t>Date</t>
        </is>
      </c>
      <c r="C2" s="53" t="inlineStr">
        <is>
          <t>Customer Name</t>
        </is>
      </c>
      <c r="D2" s="53" t="inlineStr">
        <is>
          <t>Product</t>
        </is>
      </c>
      <c r="E2" s="53" t="inlineStr">
        <is>
          <t>Quantity</t>
        </is>
      </c>
      <c r="F2" s="53" t="inlineStr">
        <is>
          <t>Unit Price ($)</t>
        </is>
      </c>
      <c r="G2" s="53" t="inlineStr">
        <is>
          <t>Total Amount ($)</t>
        </is>
      </c>
      <c r="H2" s="53" t="inlineStr">
        <is>
          <t>Payment Status</t>
        </is>
      </c>
      <c r="I2" s="53" t="inlineStr">
        <is>
          <t>Duplicate Check</t>
        </is>
      </c>
      <c r="J2" s="53" t="inlineStr">
        <is>
          <t>Missing Value Check</t>
        </is>
      </c>
      <c r="K2" s="53" t="inlineStr">
        <is>
          <t>Amount Mismatch</t>
        </is>
      </c>
      <c r="L2" s="53" t="inlineStr">
        <is>
          <t>Additional Flag</t>
        </is>
      </c>
    </row>
    <row r="3">
      <c r="A3" s="3" t="inlineStr">
        <is>
          <t>TXN1081</t>
        </is>
      </c>
      <c r="B3" s="4" t="n">
        <v>45376</v>
      </c>
      <c r="C3" s="5" t="inlineStr">
        <is>
          <t>Eta Partners</t>
        </is>
      </c>
      <c r="D3" s="5" t="inlineStr">
        <is>
          <t>Tablet</t>
        </is>
      </c>
      <c r="E3" s="54" t="n">
        <v>10</v>
      </c>
      <c r="F3" s="55" t="n">
        <v>32000</v>
      </c>
      <c r="G3" s="55" t="n">
        <v>320000</v>
      </c>
      <c r="H3" s="8" t="inlineStr">
        <is>
          <t>Refunded</t>
        </is>
      </c>
      <c r="I3" s="14">
        <f>IF(COUNTIF($A$3:$A$122,A3)&gt;1,"Duplicate","OK")</f>
        <v/>
      </c>
      <c r="J3" s="14">
        <f>IF(OR(A3="",B3="",C3="",D3=""),"Missing","OK")</f>
        <v/>
      </c>
      <c r="K3" s="14">
        <f>IF(ABS(G3-(E3*F3))&gt;0.01,"Mismatch","OK")</f>
        <v/>
      </c>
      <c r="L3" s="14" t="inlineStr">
        <is>
          <t>OK</t>
        </is>
      </c>
    </row>
    <row r="4">
      <c r="A4" s="9" t="inlineStr">
        <is>
          <t>TXN1082</t>
        </is>
      </c>
      <c r="B4" s="10" t="n">
        <v>45402</v>
      </c>
      <c r="C4" s="11" t="inlineStr">
        <is>
          <t>Nu Ventures</t>
        </is>
      </c>
      <c r="D4" s="11" t="inlineStr">
        <is>
          <t>Printer</t>
        </is>
      </c>
      <c r="E4" s="56" t="n">
        <v>17</v>
      </c>
      <c r="F4" s="57" t="n">
        <v>18000</v>
      </c>
      <c r="G4" s="57" t="n">
        <v>306000</v>
      </c>
      <c r="H4" s="14" t="inlineStr">
        <is>
          <t>Paid</t>
        </is>
      </c>
      <c r="I4" s="14">
        <f>IF(COUNTIF($A$3:$A$122,A4)&gt;1,"Duplicate","OK")</f>
        <v/>
      </c>
      <c r="J4" s="14">
        <f>IF(OR(A4="",B4="",C4="",D4=""),"Missing","OK")</f>
        <v/>
      </c>
      <c r="K4" s="14">
        <f>IF(ABS(G4-(E4*F4))&gt;0.01,"Mismatch","OK")</f>
        <v/>
      </c>
      <c r="L4" s="14" t="inlineStr">
        <is>
          <t>OK</t>
        </is>
      </c>
    </row>
    <row r="5">
      <c r="A5" s="3" t="inlineStr">
        <is>
          <t>TXN1083</t>
        </is>
      </c>
      <c r="B5" s="4" t="n">
        <v>45550</v>
      </c>
      <c r="C5" s="5" t="inlineStr">
        <is>
          <t>Iota Ltd</t>
        </is>
      </c>
      <c r="D5" s="5" t="inlineStr">
        <is>
          <t>Mouse</t>
        </is>
      </c>
      <c r="E5" s="54" t="n">
        <v>1</v>
      </c>
      <c r="F5" s="55" t="n">
        <v>1200</v>
      </c>
      <c r="G5" s="58" t="n">
        <v>1320</v>
      </c>
      <c r="H5" s="16" t="inlineStr">
        <is>
          <t>Pending</t>
        </is>
      </c>
      <c r="I5" s="14">
        <f>IF(COUNTIF($A$3:$A$122,A5)&gt;1,"Duplicate","OK")</f>
        <v/>
      </c>
      <c r="J5" s="14">
        <f>IF(OR(A5="",B5="",C5="",D5=""),"Missing","OK")</f>
        <v/>
      </c>
      <c r="K5" s="16">
        <f>IF(ABS(G5-(E5*F5))&gt;0.01,"Mismatch","OK")</f>
        <v/>
      </c>
      <c r="L5" s="14" t="inlineStr">
        <is>
          <t>OK</t>
        </is>
      </c>
    </row>
    <row r="6">
      <c r="A6" s="17" t="inlineStr">
        <is>
          <t>TXN1020</t>
        </is>
      </c>
      <c r="B6" s="10" t="n">
        <v>45511</v>
      </c>
      <c r="C6" s="11" t="inlineStr">
        <is>
          <t>Beta Ltd</t>
        </is>
      </c>
      <c r="D6" s="11" t="inlineStr">
        <is>
          <t>Keyboard</t>
        </is>
      </c>
      <c r="E6" s="56" t="n">
        <v>8</v>
      </c>
      <c r="F6" s="57" t="n">
        <v>3500</v>
      </c>
      <c r="G6" s="57" t="n">
        <v>28000</v>
      </c>
      <c r="H6" s="14" t="inlineStr">
        <is>
          <t>Paid</t>
        </is>
      </c>
      <c r="I6" s="17">
        <f>IF(COUNTIF($A$3:$A$122,A6)&gt;1,"Duplicate","OK")</f>
        <v/>
      </c>
      <c r="J6" s="14">
        <f>IF(OR(A6="",B6="",C6="",D6=""),"Missing","OK")</f>
        <v/>
      </c>
      <c r="K6" s="14">
        <f>IF(ABS(G6-(E6*F6))&gt;0.01,"Mismatch","OK")</f>
        <v/>
      </c>
      <c r="L6" s="14" t="inlineStr">
        <is>
          <t>OK</t>
        </is>
      </c>
    </row>
    <row r="7">
      <c r="A7" s="3" t="inlineStr">
        <is>
          <t>TXN1085</t>
        </is>
      </c>
      <c r="B7" s="4" t="n">
        <v>45647</v>
      </c>
      <c r="C7" s="5" t="inlineStr">
        <is>
          <t xml:space="preserve">  Acme Corp  </t>
        </is>
      </c>
      <c r="D7" s="5" t="inlineStr">
        <is>
          <t>Tablet</t>
        </is>
      </c>
      <c r="E7" s="54" t="n">
        <v>14</v>
      </c>
      <c r="F7" s="55" t="n">
        <v>32000</v>
      </c>
      <c r="G7" s="55" t="n">
        <v>448000</v>
      </c>
      <c r="H7" s="8" t="inlineStr">
        <is>
          <t>Refunded</t>
        </is>
      </c>
      <c r="I7" s="14">
        <f>IF(COUNTIF($A$3:$A$122,A7)&gt;1,"Duplicate","OK")</f>
        <v/>
      </c>
      <c r="J7" s="14">
        <f>IF(OR(A7="",B7="",C7="",D7=""),"Missing","OK")</f>
        <v/>
      </c>
      <c r="K7" s="14">
        <f>IF(ABS(G7-(E7*F7))&gt;0.01,"Mismatch","OK")</f>
        <v/>
      </c>
      <c r="L7" s="14" t="inlineStr">
        <is>
          <t>OK</t>
        </is>
      </c>
    </row>
    <row r="8">
      <c r="A8" s="9" t="inlineStr">
        <is>
          <t>TXN1086</t>
        </is>
      </c>
      <c r="B8" s="10" t="n">
        <v>45309</v>
      </c>
      <c r="C8" s="11" t="inlineStr">
        <is>
          <t>Zeta Group</t>
        </is>
      </c>
      <c r="D8" s="11" t="inlineStr">
        <is>
          <t>Scanner</t>
        </is>
      </c>
      <c r="E8" s="56" t="n">
        <v>16</v>
      </c>
      <c r="F8" s="57" t="n">
        <v>12000</v>
      </c>
      <c r="G8" s="57" t="n">
        <v>192000</v>
      </c>
      <c r="H8" s="14" t="inlineStr">
        <is>
          <t>Paid</t>
        </is>
      </c>
      <c r="I8" s="14">
        <f>IF(COUNTIF($A$3:$A$122,A8)&gt;1,"Duplicate","OK")</f>
        <v/>
      </c>
      <c r="J8" s="14">
        <f>IF(OR(A8="",B8="",C8="",D8=""),"Missing","OK")</f>
        <v/>
      </c>
      <c r="K8" s="14">
        <f>IF(ABS(G8-(E8*F8))&gt;0.01,"Mismatch","OK")</f>
        <v/>
      </c>
      <c r="L8" s="14" t="inlineStr">
        <is>
          <t>OK</t>
        </is>
      </c>
    </row>
    <row r="9">
      <c r="A9" s="3" t="inlineStr">
        <is>
          <t>TXN1087</t>
        </is>
      </c>
      <c r="B9" s="4" t="n">
        <v>45624</v>
      </c>
      <c r="C9" s="59" t="inlineStr">
        <is>
          <t>[BLANK]</t>
        </is>
      </c>
      <c r="D9" s="5" t="inlineStr">
        <is>
          <t>Webcam</t>
        </is>
      </c>
      <c r="E9" s="54" t="n">
        <v>1</v>
      </c>
      <c r="F9" s="55" t="n">
        <v>4500</v>
      </c>
      <c r="G9" s="55" t="n">
        <v>4500</v>
      </c>
      <c r="H9" s="14" t="inlineStr">
        <is>
          <t>Paid</t>
        </is>
      </c>
      <c r="I9" s="14">
        <f>IF(COUNTIF($A$3:$A$122,A9)&gt;1,"Duplicate","OK")</f>
        <v/>
      </c>
      <c r="J9" s="17">
        <f>IF(OR(A9="",B9="",C9="",D9=""),"Missing","OK")</f>
        <v/>
      </c>
      <c r="K9" s="14">
        <f>IF(ABS(G9-(E9*F9))&gt;0.01,"Mismatch","OK")</f>
        <v/>
      </c>
      <c r="L9" s="14" t="inlineStr">
        <is>
          <t>OK</t>
        </is>
      </c>
    </row>
    <row r="10">
      <c r="A10" s="9" t="inlineStr">
        <is>
          <t>TXN1088</t>
        </is>
      </c>
      <c r="B10" s="10" t="n">
        <v>45337</v>
      </c>
      <c r="C10" s="11" t="inlineStr">
        <is>
          <t>Beta Ltd</t>
        </is>
      </c>
      <c r="D10" s="11" t="inlineStr">
        <is>
          <t>Laptop</t>
        </is>
      </c>
      <c r="E10" s="56" t="n">
        <v>15</v>
      </c>
      <c r="F10" s="57" t="n">
        <v>85000</v>
      </c>
      <c r="G10" s="57" t="n">
        <v>1275000</v>
      </c>
      <c r="H10" s="14" t="inlineStr">
        <is>
          <t>Paid</t>
        </is>
      </c>
      <c r="I10" s="14">
        <f>IF(COUNTIF($A$3:$A$122,A10)&gt;1,"Duplicate","OK")</f>
        <v/>
      </c>
      <c r="J10" s="14">
        <f>IF(OR(A10="",B10="",C10="",D10=""),"Missing","OK")</f>
        <v/>
      </c>
      <c r="K10" s="14">
        <f>IF(ABS(G10-(E10*F10))&gt;0.01,"Mismatch","OK")</f>
        <v/>
      </c>
      <c r="L10" s="14" t="inlineStr">
        <is>
          <t>OK</t>
        </is>
      </c>
    </row>
    <row r="11">
      <c r="A11" s="17" t="inlineStr">
        <is>
          <t>TXN1020</t>
        </is>
      </c>
      <c r="B11" s="4" t="n">
        <v>45467</v>
      </c>
      <c r="C11" s="5" t="inlineStr">
        <is>
          <t>Eta Partners</t>
        </is>
      </c>
      <c r="D11" s="5" t="inlineStr">
        <is>
          <t>Printer</t>
        </is>
      </c>
      <c r="E11" s="54" t="n">
        <v>5</v>
      </c>
      <c r="F11" s="55" t="n">
        <v>18000</v>
      </c>
      <c r="G11" s="55" t="n">
        <v>90000</v>
      </c>
      <c r="H11" s="14" t="inlineStr">
        <is>
          <t>Paid</t>
        </is>
      </c>
      <c r="I11" s="17">
        <f>IF(COUNTIF($A$3:$A$122,A11)&gt;1,"Duplicate","OK")</f>
        <v/>
      </c>
      <c r="J11" s="14">
        <f>IF(OR(A11="",B11="",C11="",D11=""),"Missing","OK")</f>
        <v/>
      </c>
      <c r="K11" s="14">
        <f>IF(ABS(G11-(E11*F11))&gt;0.01,"Mismatch","OK")</f>
        <v/>
      </c>
      <c r="L11" s="14" t="inlineStr">
        <is>
          <t>OK</t>
        </is>
      </c>
    </row>
    <row r="12">
      <c r="A12" s="9" t="inlineStr">
        <is>
          <t>TXN1090</t>
        </is>
      </c>
      <c r="B12" s="10" t="n">
        <v>45632</v>
      </c>
      <c r="C12" s="11" t="inlineStr">
        <is>
          <t>Acme Corp</t>
        </is>
      </c>
      <c r="D12" s="11" t="inlineStr">
        <is>
          <t>Printer</t>
        </is>
      </c>
      <c r="E12" s="56" t="n">
        <v>8</v>
      </c>
      <c r="F12" s="57" t="n">
        <v>18000</v>
      </c>
      <c r="G12" s="57" t="n">
        <v>144000</v>
      </c>
      <c r="H12" s="14" t="inlineStr">
        <is>
          <t>Paid</t>
        </is>
      </c>
      <c r="I12" s="14">
        <f>IF(COUNTIF($A$3:$A$122,A12)&gt;1,"Duplicate","OK")</f>
        <v/>
      </c>
      <c r="J12" s="14">
        <f>IF(OR(A12="",B12="",C12="",D12=""),"Missing","OK")</f>
        <v/>
      </c>
      <c r="K12" s="14">
        <f>IF(ABS(G12-(E12*F12))&gt;0.01,"Mismatch","OK")</f>
        <v/>
      </c>
      <c r="L12" s="14" t="inlineStr">
        <is>
          <t>OK</t>
        </is>
      </c>
    </row>
    <row r="13">
      <c r="A13" s="3" t="inlineStr">
        <is>
          <t>TXN1091</t>
        </is>
      </c>
      <c r="B13" s="4" t="n">
        <v>45393</v>
      </c>
      <c r="C13" s="5" t="inlineStr">
        <is>
          <t>Delta Co</t>
        </is>
      </c>
      <c r="D13" s="5" t="inlineStr">
        <is>
          <t>USB Hub</t>
        </is>
      </c>
      <c r="E13" s="54" t="n">
        <v>3</v>
      </c>
      <c r="F13" s="55" t="n">
        <v>2200</v>
      </c>
      <c r="G13" s="58" t="n">
        <v>7260</v>
      </c>
      <c r="H13" s="8" t="inlineStr">
        <is>
          <t>Refunded</t>
        </is>
      </c>
      <c r="I13" s="14">
        <f>IF(COUNTIF($A$3:$A$122,A13)&gt;1,"Duplicate","OK")</f>
        <v/>
      </c>
      <c r="J13" s="14">
        <f>IF(OR(A13="",B13="",C13="",D13=""),"Missing","OK")</f>
        <v/>
      </c>
      <c r="K13" s="16">
        <f>IF(ABS(G13-(E13*F13))&gt;0.01,"Mismatch","OK")</f>
        <v/>
      </c>
      <c r="L13" s="14" t="inlineStr">
        <is>
          <t>OK</t>
        </is>
      </c>
    </row>
    <row r="14">
      <c r="A14" s="9" t="inlineStr">
        <is>
          <t>TXN1092</t>
        </is>
      </c>
      <c r="B14" s="10" t="n">
        <v>45578</v>
      </c>
      <c r="C14" s="11" t="inlineStr">
        <is>
          <t>Xi Corp</t>
        </is>
      </c>
      <c r="D14" s="59" t="inlineStr">
        <is>
          <t>[BLANK]</t>
        </is>
      </c>
      <c r="E14" s="56" t="n">
        <v>13</v>
      </c>
      <c r="F14" s="57" t="n">
        <v>5000</v>
      </c>
      <c r="G14" s="57" t="n">
        <v>65000</v>
      </c>
      <c r="H14" s="14" t="inlineStr">
        <is>
          <t>Paid</t>
        </is>
      </c>
      <c r="I14" s="14">
        <f>IF(COUNTIF($A$3:$A$122,A14)&gt;1,"Duplicate","OK")</f>
        <v/>
      </c>
      <c r="J14" s="17">
        <f>IF(OR(A14="",B14="",C14="",D14=""),"Missing","OK")</f>
        <v/>
      </c>
      <c r="K14" s="14">
        <f>IF(ABS(G14-(E14*F14))&gt;0.01,"Mismatch","OK")</f>
        <v/>
      </c>
      <c r="L14" s="14" t="inlineStr">
        <is>
          <t>OK</t>
        </is>
      </c>
    </row>
    <row r="15">
      <c r="A15" s="3" t="inlineStr">
        <is>
          <t>TXN1093</t>
        </is>
      </c>
      <c r="B15" s="4" t="n">
        <v>45466</v>
      </c>
      <c r="C15" s="5" t="inlineStr">
        <is>
          <t>Omicron Ltd</t>
        </is>
      </c>
      <c r="D15" s="5" t="inlineStr">
        <is>
          <t>Keyboard</t>
        </is>
      </c>
      <c r="E15" s="54" t="n">
        <v>18</v>
      </c>
      <c r="F15" s="55" t="n">
        <v>3500</v>
      </c>
      <c r="G15" s="55" t="n">
        <v>63000</v>
      </c>
      <c r="H15" s="17" t="inlineStr">
        <is>
          <t>Failed</t>
        </is>
      </c>
      <c r="I15" s="14">
        <f>IF(COUNTIF($A$3:$A$122,A15)&gt;1,"Duplicate","OK")</f>
        <v/>
      </c>
      <c r="J15" s="14">
        <f>IF(OR(A15="",B15="",C15="",D15=""),"Missing","OK")</f>
        <v/>
      </c>
      <c r="K15" s="14">
        <f>IF(ABS(G15-(E15*F15))&gt;0.01,"Mismatch","OK")</f>
        <v/>
      </c>
      <c r="L15" s="14" t="inlineStr">
        <is>
          <t>OK</t>
        </is>
      </c>
    </row>
    <row r="16">
      <c r="A16" s="17" t="inlineStr">
        <is>
          <t>TXN1010</t>
        </is>
      </c>
      <c r="B16" s="10" t="n">
        <v>45478</v>
      </c>
      <c r="C16" s="11" t="inlineStr">
        <is>
          <t>Theta Corp</t>
        </is>
      </c>
      <c r="D16" s="11" t="inlineStr">
        <is>
          <t>Scanner</t>
        </is>
      </c>
      <c r="E16" s="56" t="n">
        <v>13</v>
      </c>
      <c r="F16" s="57" t="n">
        <v>12000</v>
      </c>
      <c r="G16" s="57" t="n">
        <v>156000</v>
      </c>
      <c r="H16" s="16" t="inlineStr">
        <is>
          <t>Pending</t>
        </is>
      </c>
      <c r="I16" s="17">
        <f>IF(COUNTIF($A$3:$A$122,A16)&gt;1,"Duplicate","OK")</f>
        <v/>
      </c>
      <c r="J16" s="14">
        <f>IF(OR(A16="",B16="",C16="",D16=""),"Missing","OK")</f>
        <v/>
      </c>
      <c r="K16" s="14">
        <f>IF(ABS(G16-(E16*F16))&gt;0.01,"Mismatch","OK")</f>
        <v/>
      </c>
      <c r="L16" s="14" t="inlineStr">
        <is>
          <t>OK</t>
        </is>
      </c>
    </row>
    <row r="17">
      <c r="A17" s="3" t="inlineStr">
        <is>
          <t>TXN1095</t>
        </is>
      </c>
      <c r="B17" s="4" t="n">
        <v>45540</v>
      </c>
      <c r="C17" s="5" t="inlineStr">
        <is>
          <t>Eta Partners</t>
        </is>
      </c>
      <c r="D17" s="5" t="inlineStr">
        <is>
          <t>Headphones</t>
        </is>
      </c>
      <c r="E17" s="54" t="n">
        <v>1</v>
      </c>
      <c r="F17" s="55" t="n">
        <v>8500</v>
      </c>
      <c r="G17" s="55" t="n">
        <v>8500</v>
      </c>
      <c r="H17" s="14" t="inlineStr">
        <is>
          <t>Paid</t>
        </is>
      </c>
      <c r="I17" s="14">
        <f>IF(COUNTIF($A$3:$A$122,A17)&gt;1,"Duplicate","OK")</f>
        <v/>
      </c>
      <c r="J17" s="14">
        <f>IF(OR(A17="",B17="",C17="",D17=""),"Missing","OK")</f>
        <v/>
      </c>
      <c r="K17" s="14">
        <f>IF(ABS(G17-(E17*F17))&gt;0.01,"Mismatch","OK")</f>
        <v/>
      </c>
      <c r="L17" s="14" t="inlineStr">
        <is>
          <t>OK</t>
        </is>
      </c>
    </row>
    <row r="18">
      <c r="A18" s="9" t="inlineStr">
        <is>
          <t>TXN1096</t>
        </is>
      </c>
      <c r="B18" s="10" t="n">
        <v>45373</v>
      </c>
      <c r="C18" s="11" t="inlineStr">
        <is>
          <t>Mu Holdings</t>
        </is>
      </c>
      <c r="D18" s="11" t="inlineStr">
        <is>
          <t>Printer</t>
        </is>
      </c>
      <c r="E18" s="56" t="n">
        <v>1</v>
      </c>
      <c r="F18" s="57" t="n">
        <v>18000</v>
      </c>
      <c r="G18" s="57" t="n">
        <v>18000</v>
      </c>
      <c r="H18" s="8" t="inlineStr">
        <is>
          <t>Refunded</t>
        </is>
      </c>
      <c r="I18" s="14">
        <f>IF(COUNTIF($A$3:$A$122,A18)&gt;1,"Duplicate","OK")</f>
        <v/>
      </c>
      <c r="J18" s="14">
        <f>IF(OR(A18="",B18="",C18="",D18=""),"Missing","OK")</f>
        <v/>
      </c>
      <c r="K18" s="14">
        <f>IF(ABS(G18-(E18*F18))&gt;0.01,"Mismatch","OK")</f>
        <v/>
      </c>
      <c r="L18" s="14" t="inlineStr">
        <is>
          <t>OK</t>
        </is>
      </c>
    </row>
    <row r="19">
      <c r="A19" s="3" t="inlineStr">
        <is>
          <t>TXN1097</t>
        </is>
      </c>
      <c r="B19" s="4" t="n">
        <v>45327</v>
      </c>
      <c r="C19" s="59" t="inlineStr">
        <is>
          <t>[BLANK]</t>
        </is>
      </c>
      <c r="D19" s="5" t="inlineStr">
        <is>
          <t>Scanner</t>
        </is>
      </c>
      <c r="E19" s="54" t="n">
        <v>20</v>
      </c>
      <c r="F19" s="55" t="n">
        <v>12000</v>
      </c>
      <c r="G19" s="55" t="n">
        <v>240000</v>
      </c>
      <c r="H19" s="14" t="inlineStr">
        <is>
          <t>Paid</t>
        </is>
      </c>
      <c r="I19" s="14">
        <f>IF(COUNTIF($A$3:$A$122,A19)&gt;1,"Duplicate","OK")</f>
        <v/>
      </c>
      <c r="J19" s="17">
        <f>IF(OR(A19="",B19="",C19="",D19=""),"Missing","OK")</f>
        <v/>
      </c>
      <c r="K19" s="14">
        <f>IF(ABS(G19-(E19*F19))&gt;0.01,"Mismatch","OK")</f>
        <v/>
      </c>
      <c r="L19" s="14" t="inlineStr">
        <is>
          <t>OK</t>
        </is>
      </c>
    </row>
    <row r="20">
      <c r="A20" s="9" t="inlineStr">
        <is>
          <t>TXN1098</t>
        </is>
      </c>
      <c r="B20" s="10" t="n">
        <v>45584</v>
      </c>
      <c r="C20" s="11" t="inlineStr">
        <is>
          <t>Kappa Inc</t>
        </is>
      </c>
      <c r="D20" s="11" t="inlineStr">
        <is>
          <t>Webcam</t>
        </is>
      </c>
      <c r="E20" s="56" t="n">
        <v>18</v>
      </c>
      <c r="F20" s="57" t="n">
        <v>4500</v>
      </c>
      <c r="G20" s="57" t="n">
        <v>81000</v>
      </c>
      <c r="H20" s="14" t="inlineStr">
        <is>
          <t>Paid</t>
        </is>
      </c>
      <c r="I20" s="14">
        <f>IF(COUNTIF($A$3:$A$122,A20)&gt;1,"Duplicate","OK")</f>
        <v/>
      </c>
      <c r="J20" s="14">
        <f>IF(OR(A20="",B20="",C20="",D20=""),"Missing","OK")</f>
        <v/>
      </c>
      <c r="K20" s="14">
        <f>IF(ABS(G20-(E20*F20))&gt;0.01,"Mismatch","OK")</f>
        <v/>
      </c>
      <c r="L20" s="14" t="inlineStr">
        <is>
          <t>OK</t>
        </is>
      </c>
    </row>
    <row r="21">
      <c r="A21" s="17" t="inlineStr">
        <is>
          <t>TXN1005</t>
        </is>
      </c>
      <c r="B21" s="4" t="n">
        <v>45634</v>
      </c>
      <c r="C21" s="5" t="inlineStr">
        <is>
          <t>Gamma Inc</t>
        </is>
      </c>
      <c r="D21" s="5" t="inlineStr">
        <is>
          <t>Webcam</t>
        </is>
      </c>
      <c r="E21" s="54" t="n">
        <v>11</v>
      </c>
      <c r="F21" s="55" t="n">
        <v>4500</v>
      </c>
      <c r="G21" s="58" t="n">
        <v>74250</v>
      </c>
      <c r="H21" s="16" t="inlineStr">
        <is>
          <t>Pending</t>
        </is>
      </c>
      <c r="I21" s="17">
        <f>IF(COUNTIF($A$3:$A$122,A21)&gt;1,"Duplicate","OK")</f>
        <v/>
      </c>
      <c r="J21" s="14">
        <f>IF(OR(A21="",B21="",C21="",D21=""),"Missing","OK")</f>
        <v/>
      </c>
      <c r="K21" s="16">
        <f>IF(ABS(G21-(E21*F21))&gt;0.01,"Mismatch","OK")</f>
        <v/>
      </c>
      <c r="L21" s="14" t="inlineStr">
        <is>
          <t>OK</t>
        </is>
      </c>
    </row>
    <row r="22">
      <c r="A22" s="9" t="inlineStr">
        <is>
          <t>TXN1100</t>
        </is>
      </c>
      <c r="B22" s="10" t="n">
        <v>45417</v>
      </c>
      <c r="C22" s="11" t="inlineStr">
        <is>
          <t>Beta Ltd</t>
        </is>
      </c>
      <c r="D22" s="11" t="inlineStr">
        <is>
          <t>Keyboard</t>
        </is>
      </c>
      <c r="E22" s="56" t="n">
        <v>3</v>
      </c>
      <c r="F22" s="57" t="n">
        <v>3500</v>
      </c>
      <c r="G22" s="57" t="n">
        <v>10500</v>
      </c>
      <c r="H22" s="14" t="inlineStr">
        <is>
          <t>Paid</t>
        </is>
      </c>
      <c r="I22" s="14">
        <f>IF(COUNTIF($A$3:$A$122,A22)&gt;1,"Duplicate","OK")</f>
        <v/>
      </c>
      <c r="J22" s="14">
        <f>IF(OR(A22="",B22="",C22="",D22=""),"Missing","OK")</f>
        <v/>
      </c>
      <c r="K22" s="14">
        <f>IF(ABS(G22-(E22*F22))&gt;0.01,"Mismatch","OK")</f>
        <v/>
      </c>
      <c r="L22" s="14" t="inlineStr">
        <is>
          <t>OK</t>
        </is>
      </c>
    </row>
    <row r="23">
      <c r="A23" s="3" t="inlineStr">
        <is>
          <t>TXN1101</t>
        </is>
      </c>
      <c r="B23" s="4" t="n">
        <v>45511</v>
      </c>
      <c r="C23" s="5" t="inlineStr">
        <is>
          <t>Zeta Group</t>
        </is>
      </c>
      <c r="D23" s="5" t="inlineStr">
        <is>
          <t>Keyboard</t>
        </is>
      </c>
      <c r="E23" s="54" t="n">
        <v>2</v>
      </c>
      <c r="F23" s="55" t="n">
        <v>3500</v>
      </c>
      <c r="G23" s="55" t="n">
        <v>7000</v>
      </c>
      <c r="H23" s="14" t="inlineStr">
        <is>
          <t>Paid</t>
        </is>
      </c>
      <c r="I23" s="14">
        <f>IF(COUNTIF($A$3:$A$122,A23)&gt;1,"Duplicate","OK")</f>
        <v/>
      </c>
      <c r="J23" s="14">
        <f>IF(OR(A23="",B23="",C23="",D23=""),"Missing","OK")</f>
        <v/>
      </c>
      <c r="K23" s="14">
        <f>IF(ABS(G23-(E23*F23))&gt;0.01,"Mismatch","OK")</f>
        <v/>
      </c>
      <c r="L23" s="14" t="inlineStr">
        <is>
          <t>OK</t>
        </is>
      </c>
    </row>
    <row r="24">
      <c r="A24" s="9" t="inlineStr">
        <is>
          <t>TXN1102</t>
        </is>
      </c>
      <c r="B24" s="60" t="inlineStr"/>
      <c r="C24" s="11" t="inlineStr">
        <is>
          <t xml:space="preserve">  Eta Partners  </t>
        </is>
      </c>
      <c r="D24" s="11" t="inlineStr">
        <is>
          <t>Keyboard</t>
        </is>
      </c>
      <c r="E24" s="56" t="n">
        <v>19</v>
      </c>
      <c r="F24" s="57" t="n">
        <v>3500</v>
      </c>
      <c r="G24" s="57" t="n">
        <v>66500</v>
      </c>
      <c r="H24" s="14" t="inlineStr">
        <is>
          <t>Paid</t>
        </is>
      </c>
      <c r="I24" s="14">
        <f>IF(COUNTIF($A$3:$A$122,A24)&gt;1,"Duplicate","OK")</f>
        <v/>
      </c>
      <c r="J24" s="17">
        <f>IF(OR(A24="",B24="",C24="",D24=""),"Missing","OK")</f>
        <v/>
      </c>
      <c r="K24" s="14">
        <f>IF(ABS(G24-(E24*F24))&gt;0.01,"Mismatch","OK")</f>
        <v/>
      </c>
      <c r="L24" s="14" t="inlineStr">
        <is>
          <t>OK</t>
        </is>
      </c>
    </row>
    <row r="25">
      <c r="A25" s="3" t="inlineStr">
        <is>
          <t>TXN1103</t>
        </is>
      </c>
      <c r="B25" s="4" t="n">
        <v>45469</v>
      </c>
      <c r="C25" s="5" t="inlineStr">
        <is>
          <t>Theta Corp</t>
        </is>
      </c>
      <c r="D25" s="5" t="inlineStr">
        <is>
          <t>Scanner</t>
        </is>
      </c>
      <c r="E25" s="54" t="n">
        <v>13</v>
      </c>
      <c r="F25" s="55" t="n">
        <v>12000</v>
      </c>
      <c r="G25" s="55" t="n">
        <v>156000</v>
      </c>
      <c r="H25" s="14" t="inlineStr">
        <is>
          <t>Paid</t>
        </is>
      </c>
      <c r="I25" s="14">
        <f>IF(COUNTIF($A$3:$A$122,A25)&gt;1,"Duplicate","OK")</f>
        <v/>
      </c>
      <c r="J25" s="14">
        <f>IF(OR(A25="",B25="",C25="",D25=""),"Missing","OK")</f>
        <v/>
      </c>
      <c r="K25" s="14">
        <f>IF(ABS(G25-(E25*F25))&gt;0.01,"Mismatch","OK")</f>
        <v/>
      </c>
      <c r="L25" s="14" t="inlineStr">
        <is>
          <t>OK</t>
        </is>
      </c>
    </row>
    <row r="26">
      <c r="A26" s="17" t="inlineStr">
        <is>
          <t>TXN1005</t>
        </is>
      </c>
      <c r="B26" s="10" t="n">
        <v>45375</v>
      </c>
      <c r="C26" s="11" t="inlineStr">
        <is>
          <t>Iota Ltd</t>
        </is>
      </c>
      <c r="D26" s="11" t="inlineStr">
        <is>
          <t>Monitor</t>
        </is>
      </c>
      <c r="E26" s="56" t="n">
        <v>15</v>
      </c>
      <c r="F26" s="57" t="n">
        <v>22000</v>
      </c>
      <c r="G26" s="57" t="n">
        <v>330000</v>
      </c>
      <c r="H26" s="17" t="inlineStr">
        <is>
          <t>Failed</t>
        </is>
      </c>
      <c r="I26" s="17">
        <f>IF(COUNTIF($A$3:$A$122,A26)&gt;1,"Duplicate","OK")</f>
        <v/>
      </c>
      <c r="J26" s="14">
        <f>IF(OR(A26="",B26="",C26="",D26=""),"Missing","OK")</f>
        <v/>
      </c>
      <c r="K26" s="14">
        <f>IF(ABS(G26-(E26*F26))&gt;0.01,"Mismatch","OK")</f>
        <v/>
      </c>
      <c r="L26" s="14" t="inlineStr">
        <is>
          <t>OK</t>
        </is>
      </c>
    </row>
    <row r="27">
      <c r="A27" s="3" t="inlineStr">
        <is>
          <t>TXN1105</t>
        </is>
      </c>
      <c r="B27" s="4" t="n">
        <v>45539</v>
      </c>
      <c r="C27" s="5" t="inlineStr">
        <is>
          <t>Acme Corp</t>
        </is>
      </c>
      <c r="D27" s="5" t="inlineStr">
        <is>
          <t>Headphones</t>
        </is>
      </c>
      <c r="E27" s="54" t="n">
        <v>2</v>
      </c>
      <c r="F27" s="55" t="n">
        <v>8500</v>
      </c>
      <c r="G27" s="55" t="n">
        <v>17000</v>
      </c>
      <c r="H27" s="16" t="inlineStr">
        <is>
          <t>Pending</t>
        </is>
      </c>
      <c r="I27" s="14">
        <f>IF(COUNTIF($A$3:$A$122,A27)&gt;1,"Duplicate","OK")</f>
        <v/>
      </c>
      <c r="J27" s="14">
        <f>IF(OR(A27="",B27="",C27="",D27=""),"Missing","OK")</f>
        <v/>
      </c>
      <c r="K27" s="14">
        <f>IF(ABS(G27-(E27*F27))&gt;0.01,"Mismatch","OK")</f>
        <v/>
      </c>
      <c r="L27" s="14" t="inlineStr">
        <is>
          <t>OK</t>
        </is>
      </c>
    </row>
    <row r="28">
      <c r="A28" s="9" t="inlineStr">
        <is>
          <t>TXN1106</t>
        </is>
      </c>
      <c r="B28" s="10" t="n">
        <v>45629</v>
      </c>
      <c r="C28" s="11" t="inlineStr">
        <is>
          <t>Epsilon LLC</t>
        </is>
      </c>
      <c r="D28" s="11" t="inlineStr">
        <is>
          <t>Laptop</t>
        </is>
      </c>
      <c r="E28" s="56" t="n">
        <v>14</v>
      </c>
      <c r="F28" s="57" t="n">
        <v>85000</v>
      </c>
      <c r="G28" s="57" t="n">
        <v>1190000</v>
      </c>
      <c r="H28" s="14" t="inlineStr">
        <is>
          <t>Paid</t>
        </is>
      </c>
      <c r="I28" s="14">
        <f>IF(COUNTIF($A$3:$A$122,A28)&gt;1,"Duplicate","OK")</f>
        <v/>
      </c>
      <c r="J28" s="14">
        <f>IF(OR(A28="",B28="",C28="",D28=""),"Missing","OK")</f>
        <v/>
      </c>
      <c r="K28" s="14">
        <f>IF(ABS(G28-(E28*F28))&gt;0.01,"Mismatch","OK")</f>
        <v/>
      </c>
      <c r="L28" s="14" t="inlineStr">
        <is>
          <t>OK</t>
        </is>
      </c>
    </row>
    <row r="29">
      <c r="A29" s="3" t="inlineStr">
        <is>
          <t>TXN1107</t>
        </is>
      </c>
      <c r="B29" s="4" t="n">
        <v>45379</v>
      </c>
      <c r="C29" s="59" t="inlineStr">
        <is>
          <t>[BLANK]</t>
        </is>
      </c>
      <c r="D29" s="5" t="inlineStr">
        <is>
          <t>Tablet</t>
        </is>
      </c>
      <c r="E29" s="54" t="n">
        <v>3</v>
      </c>
      <c r="F29" s="55" t="n">
        <v>32000</v>
      </c>
      <c r="G29" s="58" t="n">
        <v>144000</v>
      </c>
      <c r="H29" s="14" t="inlineStr">
        <is>
          <t>Paid</t>
        </is>
      </c>
      <c r="I29" s="14">
        <f>IF(COUNTIF($A$3:$A$122,A29)&gt;1,"Duplicate","OK")</f>
        <v/>
      </c>
      <c r="J29" s="17">
        <f>IF(OR(A29="",B29="",C29="",D29=""),"Missing","OK")</f>
        <v/>
      </c>
      <c r="K29" s="16">
        <f>IF(ABS(G29-(E29*F29))&gt;0.01,"Mismatch","OK")</f>
        <v/>
      </c>
      <c r="L29" s="14" t="inlineStr">
        <is>
          <t>OK</t>
        </is>
      </c>
    </row>
    <row r="30">
      <c r="A30" s="9" t="inlineStr">
        <is>
          <t>TXN1108</t>
        </is>
      </c>
      <c r="B30" s="10" t="n">
        <v>45369</v>
      </c>
      <c r="C30" s="11" t="inlineStr">
        <is>
          <t>Mu Holdings</t>
        </is>
      </c>
      <c r="D30" s="11" t="inlineStr">
        <is>
          <t>Printer</t>
        </is>
      </c>
      <c r="E30" s="56" t="n">
        <v>2</v>
      </c>
      <c r="F30" s="57" t="n">
        <v>18000</v>
      </c>
      <c r="G30" s="57" t="n">
        <v>36000</v>
      </c>
      <c r="H30" s="16" t="inlineStr">
        <is>
          <t>Pending</t>
        </is>
      </c>
      <c r="I30" s="14">
        <f>IF(COUNTIF($A$3:$A$122,A30)&gt;1,"Duplicate","OK")</f>
        <v/>
      </c>
      <c r="J30" s="14">
        <f>IF(OR(A30="",B30="",C30="",D30=""),"Missing","OK")</f>
        <v/>
      </c>
      <c r="K30" s="14">
        <f>IF(ABS(G30-(E30*F30))&gt;0.01,"Mismatch","OK")</f>
        <v/>
      </c>
      <c r="L30" s="14" t="inlineStr">
        <is>
          <t>OK</t>
        </is>
      </c>
    </row>
    <row r="31">
      <c r="A31" s="17" t="inlineStr">
        <is>
          <t>TXN1005</t>
        </is>
      </c>
      <c r="B31" s="4" t="n">
        <v>45624</v>
      </c>
      <c r="C31" s="5" t="inlineStr">
        <is>
          <t>Iota Ltd</t>
        </is>
      </c>
      <c r="D31" s="5" t="inlineStr">
        <is>
          <t>Printer</t>
        </is>
      </c>
      <c r="E31" s="54" t="n">
        <v>1</v>
      </c>
      <c r="F31" s="55" t="n">
        <v>18000</v>
      </c>
      <c r="G31" s="55" t="n">
        <v>18000</v>
      </c>
      <c r="H31" s="14" t="inlineStr">
        <is>
          <t>Paid</t>
        </is>
      </c>
      <c r="I31" s="17">
        <f>IF(COUNTIF($A$3:$A$122,A31)&gt;1,"Duplicate","OK")</f>
        <v/>
      </c>
      <c r="J31" s="14">
        <f>IF(OR(A31="",B31="",C31="",D31=""),"Missing","OK")</f>
        <v/>
      </c>
      <c r="K31" s="14">
        <f>IF(ABS(G31-(E31*F31))&gt;0.01,"Mismatch","OK")</f>
        <v/>
      </c>
      <c r="L31" s="14" t="inlineStr">
        <is>
          <t>OK</t>
        </is>
      </c>
    </row>
    <row r="32">
      <c r="A32" s="9" t="inlineStr">
        <is>
          <t>TXN1110</t>
        </is>
      </c>
      <c r="B32" s="10" t="n">
        <v>45479</v>
      </c>
      <c r="C32" s="11" t="inlineStr">
        <is>
          <t>Nu Ventures</t>
        </is>
      </c>
      <c r="D32" s="11" t="inlineStr">
        <is>
          <t>Keyboard</t>
        </is>
      </c>
      <c r="E32" s="56" t="n">
        <v>12</v>
      </c>
      <c r="F32" s="57" t="n">
        <v>3500</v>
      </c>
      <c r="G32" s="57" t="n">
        <v>42000</v>
      </c>
      <c r="H32" s="17" t="inlineStr">
        <is>
          <t>Failed</t>
        </is>
      </c>
      <c r="I32" s="14">
        <f>IF(COUNTIF($A$3:$A$122,A32)&gt;1,"Duplicate","OK")</f>
        <v/>
      </c>
      <c r="J32" s="14">
        <f>IF(OR(A32="",B32="",C32="",D32=""),"Missing","OK")</f>
        <v/>
      </c>
      <c r="K32" s="14">
        <f>IF(ABS(G32-(E32*F32))&gt;0.01,"Mismatch","OK")</f>
        <v/>
      </c>
      <c r="L32" s="14" t="inlineStr">
        <is>
          <t>OK</t>
        </is>
      </c>
    </row>
    <row r="33">
      <c r="A33" s="3" t="inlineStr">
        <is>
          <t>TXN1111</t>
        </is>
      </c>
      <c r="B33" s="4" t="n">
        <v>45540</v>
      </c>
      <c r="C33" s="5" t="inlineStr">
        <is>
          <t>Kappa Inc</t>
        </is>
      </c>
      <c r="D33" s="5" t="inlineStr">
        <is>
          <t>Printer</t>
        </is>
      </c>
      <c r="E33" s="54" t="n">
        <v>10</v>
      </c>
      <c r="F33" s="55" t="n">
        <v>18000</v>
      </c>
      <c r="G33" s="55" t="n">
        <v>180000</v>
      </c>
      <c r="H33" s="14" t="inlineStr">
        <is>
          <t>Paid</t>
        </is>
      </c>
      <c r="I33" s="14">
        <f>IF(COUNTIF($A$3:$A$122,A33)&gt;1,"Duplicate","OK")</f>
        <v/>
      </c>
      <c r="J33" s="14">
        <f>IF(OR(A33="",B33="",C33="",D33=""),"Missing","OK")</f>
        <v/>
      </c>
      <c r="K33" s="14">
        <f>IF(ABS(G33-(E33*F33))&gt;0.01,"Mismatch","OK")</f>
        <v/>
      </c>
      <c r="L33" s="14" t="inlineStr">
        <is>
          <t>OK</t>
        </is>
      </c>
    </row>
    <row r="34">
      <c r="A34" s="9" t="inlineStr">
        <is>
          <t>TXN1112</t>
        </is>
      </c>
      <c r="B34" s="10" t="n">
        <v>45565</v>
      </c>
      <c r="C34" s="11" t="inlineStr">
        <is>
          <t>Kappa Inc</t>
        </is>
      </c>
      <c r="D34" s="59" t="inlineStr">
        <is>
          <t>[BLANK]</t>
        </is>
      </c>
      <c r="E34" s="56" t="n">
        <v>9</v>
      </c>
      <c r="F34" s="57" t="n">
        <v>5000</v>
      </c>
      <c r="G34" s="57" t="n">
        <v>45000</v>
      </c>
      <c r="H34" s="14" t="inlineStr">
        <is>
          <t>Paid</t>
        </is>
      </c>
      <c r="I34" s="14">
        <f>IF(COUNTIF($A$3:$A$122,A34)&gt;1,"Duplicate","OK")</f>
        <v/>
      </c>
      <c r="J34" s="17">
        <f>IF(OR(A34="",B34="",C34="",D34=""),"Missing","OK")</f>
        <v/>
      </c>
      <c r="K34" s="14">
        <f>IF(ABS(G34-(E34*F34))&gt;0.01,"Mismatch","OK")</f>
        <v/>
      </c>
      <c r="L34" s="14" t="inlineStr">
        <is>
          <t>OK</t>
        </is>
      </c>
    </row>
    <row r="35">
      <c r="A35" s="3" t="inlineStr">
        <is>
          <t>TXN1113</t>
        </is>
      </c>
      <c r="B35" s="4" t="n">
        <v>45297</v>
      </c>
      <c r="C35" s="5" t="inlineStr">
        <is>
          <t>Eta Partners</t>
        </is>
      </c>
      <c r="D35" s="5" t="inlineStr">
        <is>
          <t>Keyboard</t>
        </is>
      </c>
      <c r="E35" s="54" t="n">
        <v>1</v>
      </c>
      <c r="F35" s="55" t="n">
        <v>3500</v>
      </c>
      <c r="G35" s="55" t="n">
        <v>3500</v>
      </c>
      <c r="H35" s="16" t="inlineStr">
        <is>
          <t>Pending</t>
        </is>
      </c>
      <c r="I35" s="14">
        <f>IF(COUNTIF($A$3:$A$122,A35)&gt;1,"Duplicate","OK")</f>
        <v/>
      </c>
      <c r="J35" s="14">
        <f>IF(OR(A35="",B35="",C35="",D35=""),"Missing","OK")</f>
        <v/>
      </c>
      <c r="K35" s="14">
        <f>IF(ABS(G35-(E35*F35))&gt;0.01,"Mismatch","OK")</f>
        <v/>
      </c>
      <c r="L35" s="14" t="inlineStr">
        <is>
          <t>OK</t>
        </is>
      </c>
    </row>
    <row r="36">
      <c r="A36" s="17" t="inlineStr">
        <is>
          <t>TXN1020</t>
        </is>
      </c>
      <c r="B36" s="10" t="n">
        <v>45458</v>
      </c>
      <c r="C36" s="11" t="inlineStr">
        <is>
          <t>Lambda Co</t>
        </is>
      </c>
      <c r="D36" s="11" t="inlineStr">
        <is>
          <t>Mouse</t>
        </is>
      </c>
      <c r="E36" s="56" t="n">
        <v>19</v>
      </c>
      <c r="F36" s="57" t="n">
        <v>1200</v>
      </c>
      <c r="G36" s="57" t="n">
        <v>22800</v>
      </c>
      <c r="H36" s="17" t="inlineStr">
        <is>
          <t>Failed</t>
        </is>
      </c>
      <c r="I36" s="17">
        <f>IF(COUNTIF($A$3:$A$122,A36)&gt;1,"Duplicate","OK")</f>
        <v/>
      </c>
      <c r="J36" s="14">
        <f>IF(OR(A36="",B36="",C36="",D36=""),"Missing","OK")</f>
        <v/>
      </c>
      <c r="K36" s="14">
        <f>IF(ABS(G36-(E36*F36))&gt;0.01,"Mismatch","OK")</f>
        <v/>
      </c>
      <c r="L36" s="14" t="inlineStr">
        <is>
          <t>OK</t>
        </is>
      </c>
    </row>
    <row r="37">
      <c r="A37" s="3" t="inlineStr">
        <is>
          <t>TXN1115</t>
        </is>
      </c>
      <c r="B37" s="4" t="n">
        <v>45423</v>
      </c>
      <c r="C37" s="5" t="inlineStr">
        <is>
          <t>Lambda Co</t>
        </is>
      </c>
      <c r="D37" s="5" t="inlineStr">
        <is>
          <t>Tablet</t>
        </is>
      </c>
      <c r="E37" s="54" t="n">
        <v>5</v>
      </c>
      <c r="F37" s="55" t="n">
        <v>32000</v>
      </c>
      <c r="G37" s="58" t="n">
        <v>136000</v>
      </c>
      <c r="H37" s="14" t="inlineStr">
        <is>
          <t>Paid</t>
        </is>
      </c>
      <c r="I37" s="14">
        <f>IF(COUNTIF($A$3:$A$122,A37)&gt;1,"Duplicate","OK")</f>
        <v/>
      </c>
      <c r="J37" s="14">
        <f>IF(OR(A37="",B37="",C37="",D37=""),"Missing","OK")</f>
        <v/>
      </c>
      <c r="K37" s="16">
        <f>IF(ABS(G37-(E37*F37))&gt;0.01,"Mismatch","OK")</f>
        <v/>
      </c>
      <c r="L37" s="14" t="inlineStr">
        <is>
          <t>OK</t>
        </is>
      </c>
    </row>
    <row r="38">
      <c r="A38" s="9" t="inlineStr">
        <is>
          <t>TXN1116</t>
        </is>
      </c>
      <c r="B38" s="10" t="n">
        <v>45340</v>
      </c>
      <c r="C38" s="11" t="inlineStr">
        <is>
          <t>Eta Partners</t>
        </is>
      </c>
      <c r="D38" s="11" t="inlineStr">
        <is>
          <t>Monitor</t>
        </is>
      </c>
      <c r="E38" s="56" t="n">
        <v>6</v>
      </c>
      <c r="F38" s="57" t="n">
        <v>22000</v>
      </c>
      <c r="G38" s="57" t="n">
        <v>132000</v>
      </c>
      <c r="H38" s="14" t="inlineStr">
        <is>
          <t>Paid</t>
        </is>
      </c>
      <c r="I38" s="14">
        <f>IF(COUNTIF($A$3:$A$122,A38)&gt;1,"Duplicate","OK")</f>
        <v/>
      </c>
      <c r="J38" s="14">
        <f>IF(OR(A38="",B38="",C38="",D38=""),"Missing","OK")</f>
        <v/>
      </c>
      <c r="K38" s="14">
        <f>IF(ABS(G38-(E38*F38))&gt;0.01,"Mismatch","OK")</f>
        <v/>
      </c>
      <c r="L38" s="14" t="inlineStr">
        <is>
          <t>OK</t>
        </is>
      </c>
    </row>
    <row r="39">
      <c r="A39" s="3" t="inlineStr">
        <is>
          <t>TXN1117</t>
        </is>
      </c>
      <c r="B39" s="4" t="n">
        <v>45620</v>
      </c>
      <c r="C39" s="59" t="inlineStr">
        <is>
          <t>[BLANK]</t>
        </is>
      </c>
      <c r="D39" s="5" t="inlineStr">
        <is>
          <t>Printer</t>
        </is>
      </c>
      <c r="E39" s="54" t="n">
        <v>5</v>
      </c>
      <c r="F39" s="55" t="n">
        <v>18000</v>
      </c>
      <c r="G39" s="55" t="n">
        <v>90000</v>
      </c>
      <c r="H39" s="14" t="inlineStr">
        <is>
          <t>Paid</t>
        </is>
      </c>
      <c r="I39" s="14">
        <f>IF(COUNTIF($A$3:$A$122,A39)&gt;1,"Duplicate","OK")</f>
        <v/>
      </c>
      <c r="J39" s="17">
        <f>IF(OR(A39="",B39="",C39="",D39=""),"Missing","OK")</f>
        <v/>
      </c>
      <c r="K39" s="14">
        <f>IF(ABS(G39-(E39*F39))&gt;0.01,"Mismatch","OK")</f>
        <v/>
      </c>
      <c r="L39" s="14" t="inlineStr">
        <is>
          <t>OK</t>
        </is>
      </c>
    </row>
    <row r="40">
      <c r="A40" s="9" t="inlineStr">
        <is>
          <t>TXN1118</t>
        </is>
      </c>
      <c r="B40" s="10" t="n">
        <v>45352</v>
      </c>
      <c r="C40" s="11" t="inlineStr">
        <is>
          <t xml:space="preserve">  Lambda Co  </t>
        </is>
      </c>
      <c r="D40" s="11" t="inlineStr">
        <is>
          <t>Headphones</t>
        </is>
      </c>
      <c r="E40" s="56" t="n">
        <v>5</v>
      </c>
      <c r="F40" s="57" t="n">
        <v>8500</v>
      </c>
      <c r="G40" s="57" t="n">
        <v>42500</v>
      </c>
      <c r="H40" s="16" t="inlineStr">
        <is>
          <t>Pending</t>
        </is>
      </c>
      <c r="I40" s="14">
        <f>IF(COUNTIF($A$3:$A$122,A40)&gt;1,"Duplicate","OK")</f>
        <v/>
      </c>
      <c r="J40" s="14">
        <f>IF(OR(A40="",B40="",C40="",D40=""),"Missing","OK")</f>
        <v/>
      </c>
      <c r="K40" s="14">
        <f>IF(ABS(G40-(E40*F40))&gt;0.01,"Mismatch","OK")</f>
        <v/>
      </c>
      <c r="L40" s="14" t="inlineStr">
        <is>
          <t>OK</t>
        </is>
      </c>
    </row>
    <row r="41">
      <c r="A41" s="17" t="inlineStr">
        <is>
          <t>TXN1020</t>
        </is>
      </c>
      <c r="B41" s="4" t="n">
        <v>45458</v>
      </c>
      <c r="C41" s="5" t="inlineStr">
        <is>
          <t>Eta Partners</t>
        </is>
      </c>
      <c r="D41" s="5" t="inlineStr">
        <is>
          <t>Printer</t>
        </is>
      </c>
      <c r="E41" s="54" t="n">
        <v>8</v>
      </c>
      <c r="F41" s="55" t="n">
        <v>18000</v>
      </c>
      <c r="G41" s="55" t="n">
        <v>144000</v>
      </c>
      <c r="H41" s="14" t="inlineStr">
        <is>
          <t>Paid</t>
        </is>
      </c>
      <c r="I41" s="17">
        <f>IF(COUNTIF($A$3:$A$122,A41)&gt;1,"Duplicate","OK")</f>
        <v/>
      </c>
      <c r="J41" s="14">
        <f>IF(OR(A41="",B41="",C41="",D41=""),"Missing","OK")</f>
        <v/>
      </c>
      <c r="K41" s="14">
        <f>IF(ABS(G41-(E41*F41))&gt;0.01,"Mismatch","OK")</f>
        <v/>
      </c>
      <c r="L41" s="14" t="inlineStr">
        <is>
          <t>OK</t>
        </is>
      </c>
    </row>
    <row r="42">
      <c r="A42" s="9" t="inlineStr">
        <is>
          <t>TXN1120</t>
        </is>
      </c>
      <c r="B42" s="10" t="n">
        <v>45384</v>
      </c>
      <c r="C42" s="11" t="inlineStr">
        <is>
          <t>Gamma Inc</t>
        </is>
      </c>
      <c r="D42" s="11" t="inlineStr">
        <is>
          <t>Tablet</t>
        </is>
      </c>
      <c r="E42" s="56" t="n">
        <v>7</v>
      </c>
      <c r="F42" s="57" t="n">
        <v>32000</v>
      </c>
      <c r="G42" s="57" t="n">
        <v>224000</v>
      </c>
      <c r="H42" s="14" t="inlineStr">
        <is>
          <t>Paid</t>
        </is>
      </c>
      <c r="I42" s="14">
        <f>IF(COUNTIF($A$3:$A$122,A42)&gt;1,"Duplicate","OK")</f>
        <v/>
      </c>
      <c r="J42" s="14">
        <f>IF(OR(A42="",B42="",C42="",D42=""),"Missing","OK")</f>
        <v/>
      </c>
      <c r="K42" s="14">
        <f>IF(ABS(G42-(E42*F42))&gt;0.01,"Mismatch","OK")</f>
        <v/>
      </c>
      <c r="L42" s="14" t="inlineStr">
        <is>
          <t>OK</t>
        </is>
      </c>
    </row>
    <row r="43">
      <c r="A43" s="3" t="inlineStr">
        <is>
          <t>TXN1121</t>
        </is>
      </c>
      <c r="B43" s="4" t="n">
        <v>45601</v>
      </c>
      <c r="C43" s="5" t="inlineStr">
        <is>
          <t>Mu Holdings</t>
        </is>
      </c>
      <c r="D43" s="5" t="inlineStr">
        <is>
          <t>Scanner</t>
        </is>
      </c>
      <c r="E43" s="54" t="n">
        <v>2</v>
      </c>
      <c r="F43" s="55" t="n">
        <v>12000</v>
      </c>
      <c r="G43" s="55" t="n">
        <v>24000</v>
      </c>
      <c r="H43" s="14" t="inlineStr">
        <is>
          <t>Paid</t>
        </is>
      </c>
      <c r="I43" s="14">
        <f>IF(COUNTIF($A$3:$A$122,A43)&gt;1,"Duplicate","OK")</f>
        <v/>
      </c>
      <c r="J43" s="14">
        <f>IF(OR(A43="",B43="",C43="",D43=""),"Missing","OK")</f>
        <v/>
      </c>
      <c r="K43" s="14">
        <f>IF(ABS(G43-(E43*F43))&gt;0.01,"Mismatch","OK")</f>
        <v/>
      </c>
      <c r="L43" s="14" t="inlineStr">
        <is>
          <t>OK</t>
        </is>
      </c>
    </row>
    <row r="44">
      <c r="A44" s="9" t="inlineStr">
        <is>
          <t>TXN1122</t>
        </is>
      </c>
      <c r="B44" s="60" t="inlineStr"/>
      <c r="C44" s="11" t="inlineStr">
        <is>
          <t>Eta Partners</t>
        </is>
      </c>
      <c r="D44" s="11" t="inlineStr">
        <is>
          <t>Printer</t>
        </is>
      </c>
      <c r="E44" s="56" t="n">
        <v>3</v>
      </c>
      <c r="F44" s="57" t="n">
        <v>18000</v>
      </c>
      <c r="G44" s="57" t="n">
        <v>54000</v>
      </c>
      <c r="H44" s="17" t="inlineStr">
        <is>
          <t>Failed</t>
        </is>
      </c>
      <c r="I44" s="14">
        <f>IF(COUNTIF($A$3:$A$122,A44)&gt;1,"Duplicate","OK")</f>
        <v/>
      </c>
      <c r="J44" s="17">
        <f>IF(OR(A44="",B44="",C44="",D44=""),"Missing","OK")</f>
        <v/>
      </c>
      <c r="K44" s="14">
        <f>IF(ABS(G44-(E44*F44))&gt;0.01,"Mismatch","OK")</f>
        <v/>
      </c>
      <c r="L44" s="14" t="inlineStr">
        <is>
          <t>OK</t>
        </is>
      </c>
    </row>
    <row r="45">
      <c r="A45" s="3" t="inlineStr">
        <is>
          <t>TXN1123</t>
        </is>
      </c>
      <c r="B45" s="4" t="n">
        <v>45582</v>
      </c>
      <c r="C45" s="5" t="inlineStr">
        <is>
          <t>Gamma Inc</t>
        </is>
      </c>
      <c r="D45" s="5" t="inlineStr">
        <is>
          <t>Mouse</t>
        </is>
      </c>
      <c r="E45" s="54" t="n">
        <v>9</v>
      </c>
      <c r="F45" s="55" t="n">
        <v>1200</v>
      </c>
      <c r="G45" s="58" t="n">
        <v>13500</v>
      </c>
      <c r="H45" s="16" t="inlineStr">
        <is>
          <t>Pending</t>
        </is>
      </c>
      <c r="I45" s="14">
        <f>IF(COUNTIF($A$3:$A$122,A45)&gt;1,"Duplicate","OK")</f>
        <v/>
      </c>
      <c r="J45" s="14">
        <f>IF(OR(A45="",B45="",C45="",D45=""),"Missing","OK")</f>
        <v/>
      </c>
      <c r="K45" s="16">
        <f>IF(ABS(G45-(E45*F45))&gt;0.01,"Mismatch","OK")</f>
        <v/>
      </c>
      <c r="L45" s="14" t="inlineStr">
        <is>
          <t>OK</t>
        </is>
      </c>
    </row>
    <row r="46">
      <c r="A46" s="17" t="inlineStr">
        <is>
          <t>TXN1001</t>
        </is>
      </c>
      <c r="B46" s="10" t="n">
        <v>45417</v>
      </c>
      <c r="C46" s="11" t="inlineStr">
        <is>
          <t>Eta Partners</t>
        </is>
      </c>
      <c r="D46" s="11" t="inlineStr">
        <is>
          <t>Keyboard</t>
        </is>
      </c>
      <c r="E46" s="56" t="n">
        <v>10</v>
      </c>
      <c r="F46" s="57" t="n">
        <v>3500</v>
      </c>
      <c r="G46" s="57" t="n">
        <v>35000</v>
      </c>
      <c r="H46" s="16" t="inlineStr">
        <is>
          <t>Pending</t>
        </is>
      </c>
      <c r="I46" s="17">
        <f>IF(COUNTIF($A$3:$A$122,A46)&gt;1,"Duplicate","OK")</f>
        <v/>
      </c>
      <c r="J46" s="14">
        <f>IF(OR(A46="",B46="",C46="",D46=""),"Missing","OK")</f>
        <v/>
      </c>
      <c r="K46" s="14">
        <f>IF(ABS(G46-(E46*F46))&gt;0.01,"Mismatch","OK")</f>
        <v/>
      </c>
      <c r="L46" s="14" t="inlineStr">
        <is>
          <t>OK</t>
        </is>
      </c>
    </row>
    <row r="47">
      <c r="A47" s="3" t="inlineStr">
        <is>
          <t>TXN1125</t>
        </is>
      </c>
      <c r="B47" s="4" t="n">
        <v>45549</v>
      </c>
      <c r="C47" s="5" t="inlineStr">
        <is>
          <t>Nu Ventures</t>
        </is>
      </c>
      <c r="D47" s="5" t="inlineStr">
        <is>
          <t>Scanner</t>
        </is>
      </c>
      <c r="E47" s="61" t="n">
        <v>-16</v>
      </c>
      <c r="F47" s="55" t="n">
        <v>12000</v>
      </c>
      <c r="G47" s="55" t="n">
        <v>-192000</v>
      </c>
      <c r="H47" s="14" t="inlineStr">
        <is>
          <t>Paid</t>
        </is>
      </c>
      <c r="I47" s="14">
        <f>IF(COUNTIF($A$3:$A$122,A47)&gt;1,"Duplicate","OK")</f>
        <v/>
      </c>
      <c r="J47" s="14">
        <f>IF(OR(A47="",B47="",C47="",D47=""),"Missing","OK")</f>
        <v/>
      </c>
      <c r="K47" s="14">
        <f>IF(ABS(G47-(E47*F47))&gt;0.01,"Mismatch","OK")</f>
        <v/>
      </c>
      <c r="L47" s="62" t="inlineStr">
        <is>
          <t>Negative Qty</t>
        </is>
      </c>
    </row>
    <row r="48">
      <c r="A48" s="9" t="inlineStr">
        <is>
          <t>TXN1126</t>
        </is>
      </c>
      <c r="B48" s="10" t="n">
        <v>45571</v>
      </c>
      <c r="C48" s="11" t="inlineStr">
        <is>
          <t>Kappa Inc</t>
        </is>
      </c>
      <c r="D48" s="11" t="inlineStr">
        <is>
          <t>Laptop</t>
        </is>
      </c>
      <c r="E48" s="56" t="n">
        <v>17</v>
      </c>
      <c r="F48" s="57" t="n">
        <v>85000</v>
      </c>
      <c r="G48" s="57" t="n">
        <v>1445000</v>
      </c>
      <c r="H48" s="16" t="inlineStr">
        <is>
          <t>Pending</t>
        </is>
      </c>
      <c r="I48" s="14">
        <f>IF(COUNTIF($A$3:$A$122,A48)&gt;1,"Duplicate","OK")</f>
        <v/>
      </c>
      <c r="J48" s="14">
        <f>IF(OR(A48="",B48="",C48="",D48=""),"Missing","OK")</f>
        <v/>
      </c>
      <c r="K48" s="14">
        <f>IF(ABS(G48-(E48*F48))&gt;0.01,"Mismatch","OK")</f>
        <v/>
      </c>
      <c r="L48" s="14" t="inlineStr">
        <is>
          <t>OK</t>
        </is>
      </c>
    </row>
    <row r="49">
      <c r="A49" s="3" t="inlineStr">
        <is>
          <t>TXN1127</t>
        </is>
      </c>
      <c r="B49" s="4" t="n">
        <v>45556</v>
      </c>
      <c r="C49" s="59" t="inlineStr">
        <is>
          <t>[BLANK]</t>
        </is>
      </c>
      <c r="D49" s="5" t="inlineStr">
        <is>
          <t>Headphones</t>
        </is>
      </c>
      <c r="E49" s="54" t="n">
        <v>10</v>
      </c>
      <c r="F49" s="55" t="n">
        <v>8500</v>
      </c>
      <c r="G49" s="55" t="n">
        <v>85000</v>
      </c>
      <c r="H49" s="14" t="inlineStr">
        <is>
          <t>Paid</t>
        </is>
      </c>
      <c r="I49" s="14">
        <f>IF(COUNTIF($A$3:$A$122,A49)&gt;1,"Duplicate","OK")</f>
        <v/>
      </c>
      <c r="J49" s="17">
        <f>IF(OR(A49="",B49="",C49="",D49=""),"Missing","OK")</f>
        <v/>
      </c>
      <c r="K49" s="14">
        <f>IF(ABS(G49-(E49*F49))&gt;0.01,"Mismatch","OK")</f>
        <v/>
      </c>
      <c r="L49" s="14" t="inlineStr">
        <is>
          <t>OK</t>
        </is>
      </c>
    </row>
    <row r="50">
      <c r="A50" s="9" t="inlineStr">
        <is>
          <t>TXN1128</t>
        </is>
      </c>
      <c r="B50" s="10" t="n">
        <v>45324</v>
      </c>
      <c r="C50" s="11" t="inlineStr">
        <is>
          <t>Kappa Inc</t>
        </is>
      </c>
      <c r="D50" s="11" t="inlineStr">
        <is>
          <t>Webcam</t>
        </is>
      </c>
      <c r="E50" s="56" t="n">
        <v>7</v>
      </c>
      <c r="F50" s="57" t="n">
        <v>4500</v>
      </c>
      <c r="G50" s="57" t="n">
        <v>31500</v>
      </c>
      <c r="H50" s="16" t="inlineStr">
        <is>
          <t>Pending</t>
        </is>
      </c>
      <c r="I50" s="14">
        <f>IF(COUNTIF($A$3:$A$122,A50)&gt;1,"Duplicate","OK")</f>
        <v/>
      </c>
      <c r="J50" s="14">
        <f>IF(OR(A50="",B50="",C50="",D50=""),"Missing","OK")</f>
        <v/>
      </c>
      <c r="K50" s="14">
        <f>IF(ABS(G50-(E50*F50))&gt;0.01,"Mismatch","OK")</f>
        <v/>
      </c>
      <c r="L50" s="14" t="inlineStr">
        <is>
          <t>OK</t>
        </is>
      </c>
    </row>
    <row r="51">
      <c r="A51" s="17" t="inlineStr">
        <is>
          <t>TXN1001</t>
        </is>
      </c>
      <c r="B51" s="4" t="n">
        <v>45454</v>
      </c>
      <c r="C51" s="5" t="inlineStr">
        <is>
          <t>Lambda Co</t>
        </is>
      </c>
      <c r="D51" s="5" t="inlineStr">
        <is>
          <t>Tablet</t>
        </is>
      </c>
      <c r="E51" s="54" t="n">
        <v>4</v>
      </c>
      <c r="F51" s="55" t="n">
        <v>32000</v>
      </c>
      <c r="G51" s="55" t="n">
        <v>128000</v>
      </c>
      <c r="H51" s="14" t="inlineStr">
        <is>
          <t>Paid</t>
        </is>
      </c>
      <c r="I51" s="17">
        <f>IF(COUNTIF($A$3:$A$122,A51)&gt;1,"Duplicate","OK")</f>
        <v/>
      </c>
      <c r="J51" s="14">
        <f>IF(OR(A51="",B51="",C51="",D51=""),"Missing","OK")</f>
        <v/>
      </c>
      <c r="K51" s="14">
        <f>IF(ABS(G51-(E51*F51))&gt;0.01,"Mismatch","OK")</f>
        <v/>
      </c>
      <c r="L51" s="14" t="inlineStr">
        <is>
          <t>OK</t>
        </is>
      </c>
    </row>
    <row r="52">
      <c r="A52" s="9" t="inlineStr">
        <is>
          <t>TXN1130</t>
        </is>
      </c>
      <c r="B52" s="10" t="n">
        <v>45625</v>
      </c>
      <c r="C52" s="11" t="inlineStr">
        <is>
          <t>Beta Ltd</t>
        </is>
      </c>
      <c r="D52" s="11" t="inlineStr">
        <is>
          <t>Printer</t>
        </is>
      </c>
      <c r="E52" s="56" t="n">
        <v>17</v>
      </c>
      <c r="F52" s="57" t="n">
        <v>18000</v>
      </c>
      <c r="G52" s="57" t="n">
        <v>306000</v>
      </c>
      <c r="H52" s="14" t="inlineStr">
        <is>
          <t>Paid</t>
        </is>
      </c>
      <c r="I52" s="14">
        <f>IF(COUNTIF($A$3:$A$122,A52)&gt;1,"Duplicate","OK")</f>
        <v/>
      </c>
      <c r="J52" s="14">
        <f>IF(OR(A52="",B52="",C52="",D52=""),"Missing","OK")</f>
        <v/>
      </c>
      <c r="K52" s="14">
        <f>IF(ABS(G52-(E52*F52))&gt;0.01,"Mismatch","OK")</f>
        <v/>
      </c>
      <c r="L52" s="14" t="inlineStr">
        <is>
          <t>OK</t>
        </is>
      </c>
    </row>
    <row r="53">
      <c r="A53" s="3" t="inlineStr">
        <is>
          <t>TXN1131</t>
        </is>
      </c>
      <c r="B53" s="4" t="n">
        <v>45640</v>
      </c>
      <c r="C53" s="5" t="inlineStr">
        <is>
          <t>Lambda Co</t>
        </is>
      </c>
      <c r="D53" s="5" t="inlineStr">
        <is>
          <t>Printer</t>
        </is>
      </c>
      <c r="E53" s="54" t="n">
        <v>16</v>
      </c>
      <c r="F53" s="55" t="n">
        <v>18000</v>
      </c>
      <c r="G53" s="58" t="n">
        <v>172800</v>
      </c>
      <c r="H53" s="17" t="inlineStr">
        <is>
          <t>Failed</t>
        </is>
      </c>
      <c r="I53" s="14">
        <f>IF(COUNTIF($A$3:$A$122,A53)&gt;1,"Duplicate","OK")</f>
        <v/>
      </c>
      <c r="J53" s="14">
        <f>IF(OR(A53="",B53="",C53="",D53=""),"Missing","OK")</f>
        <v/>
      </c>
      <c r="K53" s="16">
        <f>IF(ABS(G53-(E53*F53))&gt;0.01,"Mismatch","OK")</f>
        <v/>
      </c>
      <c r="L53" s="14" t="inlineStr">
        <is>
          <t>OK</t>
        </is>
      </c>
    </row>
    <row r="54">
      <c r="A54" s="9" t="inlineStr">
        <is>
          <t>TXN1132</t>
        </is>
      </c>
      <c r="B54" s="10" t="n">
        <v>45497</v>
      </c>
      <c r="C54" s="11" t="inlineStr">
        <is>
          <t>Beta Ltd</t>
        </is>
      </c>
      <c r="D54" s="59" t="inlineStr">
        <is>
          <t>[BLANK]</t>
        </is>
      </c>
      <c r="E54" s="56" t="n">
        <v>8</v>
      </c>
      <c r="F54" s="57" t="n">
        <v>5000</v>
      </c>
      <c r="G54" s="57" t="n">
        <v>40000</v>
      </c>
      <c r="H54" s="14" t="inlineStr">
        <is>
          <t>Paid</t>
        </is>
      </c>
      <c r="I54" s="14">
        <f>IF(COUNTIF($A$3:$A$122,A54)&gt;1,"Duplicate","OK")</f>
        <v/>
      </c>
      <c r="J54" s="17">
        <f>IF(OR(A54="",B54="",C54="",D54=""),"Missing","OK")</f>
        <v/>
      </c>
      <c r="K54" s="14">
        <f>IF(ABS(G54-(E54*F54))&gt;0.01,"Mismatch","OK")</f>
        <v/>
      </c>
      <c r="L54" s="14" t="inlineStr">
        <is>
          <t>OK</t>
        </is>
      </c>
    </row>
    <row r="55">
      <c r="A55" s="3" t="inlineStr">
        <is>
          <t>TXN1133</t>
        </is>
      </c>
      <c r="B55" s="4" t="n">
        <v>45316</v>
      </c>
      <c r="C55" s="5" t="inlineStr">
        <is>
          <t>Lambda Co</t>
        </is>
      </c>
      <c r="D55" s="5" t="inlineStr">
        <is>
          <t>Tablet</t>
        </is>
      </c>
      <c r="E55" s="54" t="n">
        <v>2</v>
      </c>
      <c r="F55" s="55" t="n">
        <v>32000</v>
      </c>
      <c r="G55" s="55" t="n">
        <v>64000</v>
      </c>
      <c r="H55" s="14" t="inlineStr">
        <is>
          <t>Paid</t>
        </is>
      </c>
      <c r="I55" s="14">
        <f>IF(COUNTIF($A$3:$A$122,A55)&gt;1,"Duplicate","OK")</f>
        <v/>
      </c>
      <c r="J55" s="14">
        <f>IF(OR(A55="",B55="",C55="",D55=""),"Missing","OK")</f>
        <v/>
      </c>
      <c r="K55" s="14">
        <f>IF(ABS(G55-(E55*F55))&gt;0.01,"Mismatch","OK")</f>
        <v/>
      </c>
      <c r="L55" s="14" t="inlineStr">
        <is>
          <t>OK</t>
        </is>
      </c>
    </row>
    <row r="56">
      <c r="A56" s="17" t="inlineStr">
        <is>
          <t>TXN1010</t>
        </is>
      </c>
      <c r="B56" s="10" t="n">
        <v>45652</v>
      </c>
      <c r="C56" s="11" t="inlineStr">
        <is>
          <t>Kappa Inc</t>
        </is>
      </c>
      <c r="D56" s="11" t="inlineStr">
        <is>
          <t>Tablet</t>
        </is>
      </c>
      <c r="E56" s="56" t="n">
        <v>14</v>
      </c>
      <c r="F56" s="57" t="n">
        <v>32000</v>
      </c>
      <c r="G56" s="57" t="n">
        <v>448000</v>
      </c>
      <c r="H56" s="8" t="inlineStr">
        <is>
          <t>Refunded</t>
        </is>
      </c>
      <c r="I56" s="17">
        <f>IF(COUNTIF($A$3:$A$122,A56)&gt;1,"Duplicate","OK")</f>
        <v/>
      </c>
      <c r="J56" s="14">
        <f>IF(OR(A56="",B56="",C56="",D56=""),"Missing","OK")</f>
        <v/>
      </c>
      <c r="K56" s="14">
        <f>IF(ABS(G56-(E56*F56))&gt;0.01,"Mismatch","OK")</f>
        <v/>
      </c>
      <c r="L56" s="14" t="inlineStr">
        <is>
          <t>OK</t>
        </is>
      </c>
    </row>
    <row r="57">
      <c r="A57" s="3" t="inlineStr">
        <is>
          <t>TXN1135</t>
        </is>
      </c>
      <c r="B57" s="4" t="n">
        <v>45413</v>
      </c>
      <c r="C57" s="5" t="inlineStr">
        <is>
          <t>Eta Partners</t>
        </is>
      </c>
      <c r="D57" s="5" t="inlineStr">
        <is>
          <t>Tablet</t>
        </is>
      </c>
      <c r="E57" s="54" t="n">
        <v>11</v>
      </c>
      <c r="F57" s="55" t="n">
        <v>32000</v>
      </c>
      <c r="G57" s="55" t="n">
        <v>352000</v>
      </c>
      <c r="H57" s="8" t="inlineStr">
        <is>
          <t>Refunded</t>
        </is>
      </c>
      <c r="I57" s="14">
        <f>IF(COUNTIF($A$3:$A$122,A57)&gt;1,"Duplicate","OK")</f>
        <v/>
      </c>
      <c r="J57" s="14">
        <f>IF(OR(A57="",B57="",C57="",D57=""),"Missing","OK")</f>
        <v/>
      </c>
      <c r="K57" s="14">
        <f>IF(ABS(G57-(E57*F57))&gt;0.01,"Mismatch","OK")</f>
        <v/>
      </c>
      <c r="L57" s="14" t="inlineStr">
        <is>
          <t>OK</t>
        </is>
      </c>
    </row>
    <row r="58">
      <c r="A58" s="9" t="inlineStr">
        <is>
          <t>TXN1136</t>
        </is>
      </c>
      <c r="B58" s="10" t="n">
        <v>45408</v>
      </c>
      <c r="C58" s="11" t="inlineStr">
        <is>
          <t>Lambda Co</t>
        </is>
      </c>
      <c r="D58" s="11" t="inlineStr">
        <is>
          <t>Monitor</t>
        </is>
      </c>
      <c r="E58" s="56" t="n">
        <v>2</v>
      </c>
      <c r="F58" s="63" t="n">
        <v>0</v>
      </c>
      <c r="G58" s="57" t="n">
        <v>0</v>
      </c>
      <c r="H58" s="8" t="inlineStr">
        <is>
          <t>Refunded</t>
        </is>
      </c>
      <c r="I58" s="14">
        <f>IF(COUNTIF($A$3:$A$122,A58)&gt;1,"Duplicate","OK")</f>
        <v/>
      </c>
      <c r="J58" s="14">
        <f>IF(OR(A58="",B58="",C58="",D58=""),"Missing","OK")</f>
        <v/>
      </c>
      <c r="K58" s="14">
        <f>IF(ABS(G58-(E58*F58))&gt;0.01,"Mismatch","OK")</f>
        <v/>
      </c>
      <c r="L58" s="62" t="inlineStr">
        <is>
          <t>Zero Price</t>
        </is>
      </c>
    </row>
    <row r="59">
      <c r="A59" s="3" t="inlineStr">
        <is>
          <t>TXN1137</t>
        </is>
      </c>
      <c r="B59" s="4" t="n">
        <v>45380</v>
      </c>
      <c r="C59" s="59" t="inlineStr">
        <is>
          <t>[BLANK]</t>
        </is>
      </c>
      <c r="D59" s="5" t="inlineStr">
        <is>
          <t>Printer</t>
        </is>
      </c>
      <c r="E59" s="54" t="n">
        <v>12</v>
      </c>
      <c r="F59" s="55" t="n">
        <v>18000</v>
      </c>
      <c r="G59" s="55" t="n">
        <v>216000</v>
      </c>
      <c r="H59" s="14" t="inlineStr">
        <is>
          <t>Paid</t>
        </is>
      </c>
      <c r="I59" s="14">
        <f>IF(COUNTIF($A$3:$A$122,A59)&gt;1,"Duplicate","OK")</f>
        <v/>
      </c>
      <c r="J59" s="17">
        <f>IF(OR(A59="",B59="",C59="",D59=""),"Missing","OK")</f>
        <v/>
      </c>
      <c r="K59" s="14">
        <f>IF(ABS(G59-(E59*F59))&gt;0.01,"Mismatch","OK")</f>
        <v/>
      </c>
      <c r="L59" s="14" t="inlineStr">
        <is>
          <t>OK</t>
        </is>
      </c>
    </row>
    <row r="60">
      <c r="A60" s="9" t="inlineStr">
        <is>
          <t>TXN1138</t>
        </is>
      </c>
      <c r="B60" s="10" t="n">
        <v>45522</v>
      </c>
      <c r="C60" s="11" t="inlineStr">
        <is>
          <t>Lambda Co</t>
        </is>
      </c>
      <c r="D60" s="11" t="inlineStr">
        <is>
          <t>USB Hub</t>
        </is>
      </c>
      <c r="E60" s="56" t="n">
        <v>20</v>
      </c>
      <c r="F60" s="57" t="n">
        <v>2200</v>
      </c>
      <c r="G60" s="57" t="n">
        <v>44000</v>
      </c>
      <c r="H60" s="16" t="inlineStr">
        <is>
          <t>Pending</t>
        </is>
      </c>
      <c r="I60" s="14">
        <f>IF(COUNTIF($A$3:$A$122,A60)&gt;1,"Duplicate","OK")</f>
        <v/>
      </c>
      <c r="J60" s="14">
        <f>IF(OR(A60="",B60="",C60="",D60=""),"Missing","OK")</f>
        <v/>
      </c>
      <c r="K60" s="14">
        <f>IF(ABS(G60-(E60*F60))&gt;0.01,"Mismatch","OK")</f>
        <v/>
      </c>
      <c r="L60" s="14" t="inlineStr">
        <is>
          <t>OK</t>
        </is>
      </c>
    </row>
    <row r="61">
      <c r="A61" s="17" t="inlineStr">
        <is>
          <t>TXN1005</t>
        </is>
      </c>
      <c r="B61" s="4" t="n">
        <v>45538</v>
      </c>
      <c r="C61" s="5" t="inlineStr">
        <is>
          <t>Omicron Ltd</t>
        </is>
      </c>
      <c r="D61" s="5" t="inlineStr">
        <is>
          <t>Printer</t>
        </is>
      </c>
      <c r="E61" s="54" t="n">
        <v>13</v>
      </c>
      <c r="F61" s="55" t="n">
        <v>18000</v>
      </c>
      <c r="G61" s="58" t="n">
        <v>351000</v>
      </c>
      <c r="H61" s="17" t="inlineStr">
        <is>
          <t>Failed</t>
        </is>
      </c>
      <c r="I61" s="17">
        <f>IF(COUNTIF($A$3:$A$122,A61)&gt;1,"Duplicate","OK")</f>
        <v/>
      </c>
      <c r="J61" s="14">
        <f>IF(OR(A61="",B61="",C61="",D61=""),"Missing","OK")</f>
        <v/>
      </c>
      <c r="K61" s="16">
        <f>IF(ABS(G61-(E61*F61))&gt;0.01,"Mismatch","OK")</f>
        <v/>
      </c>
      <c r="L61" s="14" t="inlineStr">
        <is>
          <t>OK</t>
        </is>
      </c>
    </row>
    <row r="62">
      <c r="A62" s="9" t="inlineStr">
        <is>
          <t>TXN1140</t>
        </is>
      </c>
      <c r="B62" s="10" t="n">
        <v>45560</v>
      </c>
      <c r="C62" s="11" t="inlineStr">
        <is>
          <t>Mu Holdings</t>
        </is>
      </c>
      <c r="D62" s="11" t="inlineStr">
        <is>
          <t>Laptop</t>
        </is>
      </c>
      <c r="E62" s="56" t="n">
        <v>6</v>
      </c>
      <c r="F62" s="57" t="n">
        <v>85000</v>
      </c>
      <c r="G62" s="57" t="n">
        <v>510000</v>
      </c>
      <c r="H62" s="16" t="inlineStr">
        <is>
          <t>Pending</t>
        </is>
      </c>
      <c r="I62" s="14">
        <f>IF(COUNTIF($A$3:$A$122,A62)&gt;1,"Duplicate","OK")</f>
        <v/>
      </c>
      <c r="J62" s="14">
        <f>IF(OR(A62="",B62="",C62="",D62=""),"Missing","OK")</f>
        <v/>
      </c>
      <c r="K62" s="14">
        <f>IF(ABS(G62-(E62*F62))&gt;0.01,"Mismatch","OK")</f>
        <v/>
      </c>
      <c r="L62" s="14" t="inlineStr">
        <is>
          <t>OK</t>
        </is>
      </c>
    </row>
    <row r="63">
      <c r="A63" s="3" t="inlineStr">
        <is>
          <t>TXN1141</t>
        </is>
      </c>
      <c r="B63" s="4" t="n">
        <v>45395</v>
      </c>
      <c r="C63" s="5" t="inlineStr">
        <is>
          <t xml:space="preserve">  Epsilon LLC  </t>
        </is>
      </c>
      <c r="D63" s="5" t="inlineStr">
        <is>
          <t>Tablet</t>
        </is>
      </c>
      <c r="E63" s="54" t="n">
        <v>5</v>
      </c>
      <c r="F63" s="55" t="n">
        <v>32000</v>
      </c>
      <c r="G63" s="55" t="n">
        <v>160000</v>
      </c>
      <c r="H63" s="14" t="inlineStr">
        <is>
          <t>Paid</t>
        </is>
      </c>
      <c r="I63" s="14">
        <f>IF(COUNTIF($A$3:$A$122,A63)&gt;1,"Duplicate","OK")</f>
        <v/>
      </c>
      <c r="J63" s="14">
        <f>IF(OR(A63="",B63="",C63="",D63=""),"Missing","OK")</f>
        <v/>
      </c>
      <c r="K63" s="14">
        <f>IF(ABS(G63-(E63*F63))&gt;0.01,"Mismatch","OK")</f>
        <v/>
      </c>
      <c r="L63" s="14" t="inlineStr">
        <is>
          <t>OK</t>
        </is>
      </c>
    </row>
    <row r="64">
      <c r="A64" s="9" t="inlineStr">
        <is>
          <t>TXN1142</t>
        </is>
      </c>
      <c r="B64" s="60" t="inlineStr"/>
      <c r="C64" s="11" t="inlineStr">
        <is>
          <t>Iota Ltd</t>
        </is>
      </c>
      <c r="D64" s="11" t="inlineStr">
        <is>
          <t>Keyboard</t>
        </is>
      </c>
      <c r="E64" s="56" t="n">
        <v>3</v>
      </c>
      <c r="F64" s="57" t="n">
        <v>3500</v>
      </c>
      <c r="G64" s="57" t="n">
        <v>10500</v>
      </c>
      <c r="H64" s="16" t="inlineStr">
        <is>
          <t>Pending</t>
        </is>
      </c>
      <c r="I64" s="14">
        <f>IF(COUNTIF($A$3:$A$122,A64)&gt;1,"Duplicate","OK")</f>
        <v/>
      </c>
      <c r="J64" s="17">
        <f>IF(OR(A64="",B64="",C64="",D64=""),"Missing","OK")</f>
        <v/>
      </c>
      <c r="K64" s="14">
        <f>IF(ABS(G64-(E64*F64))&gt;0.01,"Mismatch","OK")</f>
        <v/>
      </c>
      <c r="L64" s="14" t="inlineStr">
        <is>
          <t>OK</t>
        </is>
      </c>
    </row>
    <row r="65">
      <c r="A65" s="3" t="inlineStr">
        <is>
          <t>TXN1143</t>
        </is>
      </c>
      <c r="B65" s="4" t="n">
        <v>45609</v>
      </c>
      <c r="C65" s="5" t="inlineStr">
        <is>
          <t>Eta Partners</t>
        </is>
      </c>
      <c r="D65" s="5" t="inlineStr">
        <is>
          <t>Printer</t>
        </is>
      </c>
      <c r="E65" s="54" t="n">
        <v>4</v>
      </c>
      <c r="F65" s="55" t="n">
        <v>18000</v>
      </c>
      <c r="G65" s="55" t="n">
        <v>72000</v>
      </c>
      <c r="H65" s="14" t="inlineStr">
        <is>
          <t>Paid</t>
        </is>
      </c>
      <c r="I65" s="14">
        <f>IF(COUNTIF($A$3:$A$122,A65)&gt;1,"Duplicate","OK")</f>
        <v/>
      </c>
      <c r="J65" s="14">
        <f>IF(OR(A65="",B65="",C65="",D65=""),"Missing","OK")</f>
        <v/>
      </c>
      <c r="K65" s="14">
        <f>IF(ABS(G65-(E65*F65))&gt;0.01,"Mismatch","OK")</f>
        <v/>
      </c>
      <c r="L65" s="14" t="inlineStr">
        <is>
          <t>OK</t>
        </is>
      </c>
    </row>
    <row r="66">
      <c r="A66" s="9" t="inlineStr">
        <is>
          <t>TXN1015</t>
        </is>
      </c>
      <c r="B66" s="10" t="n">
        <v>45397</v>
      </c>
      <c r="C66" s="11" t="inlineStr">
        <is>
          <t>Lambda Co</t>
        </is>
      </c>
      <c r="D66" s="11" t="inlineStr">
        <is>
          <t>Webcam</t>
        </is>
      </c>
      <c r="E66" s="56" t="n">
        <v>12</v>
      </c>
      <c r="F66" s="57" t="n">
        <v>4500</v>
      </c>
      <c r="G66" s="57" t="n">
        <v>54000</v>
      </c>
      <c r="H66" s="14" t="inlineStr">
        <is>
          <t>Paid</t>
        </is>
      </c>
      <c r="I66" s="14">
        <f>IF(COUNTIF($A$3:$A$122,A66)&gt;1,"Duplicate","OK")</f>
        <v/>
      </c>
      <c r="J66" s="14">
        <f>IF(OR(A66="",B66="",C66="",D66=""),"Missing","OK")</f>
        <v/>
      </c>
      <c r="K66" s="14">
        <f>IF(ABS(G66-(E66*F66))&gt;0.01,"Mismatch","OK")</f>
        <v/>
      </c>
      <c r="L66" s="14" t="inlineStr">
        <is>
          <t>OK</t>
        </is>
      </c>
    </row>
    <row r="67">
      <c r="A67" s="3" t="inlineStr">
        <is>
          <t>TXN1145</t>
        </is>
      </c>
      <c r="B67" s="4" t="n">
        <v>45425</v>
      </c>
      <c r="C67" s="5" t="inlineStr">
        <is>
          <t>Beta Ltd</t>
        </is>
      </c>
      <c r="D67" s="5" t="inlineStr">
        <is>
          <t>Laptop</t>
        </is>
      </c>
      <c r="E67" s="54" t="n">
        <v>11</v>
      </c>
      <c r="F67" s="55" t="n">
        <v>85000</v>
      </c>
      <c r="G67" s="55" t="n">
        <v>935000</v>
      </c>
      <c r="H67" s="16" t="inlineStr">
        <is>
          <t>Pending</t>
        </is>
      </c>
      <c r="I67" s="14">
        <f>IF(COUNTIF($A$3:$A$122,A67)&gt;1,"Duplicate","OK")</f>
        <v/>
      </c>
      <c r="J67" s="14">
        <f>IF(OR(A67="",B67="",C67="",D67=""),"Missing","OK")</f>
        <v/>
      </c>
      <c r="K67" s="14">
        <f>IF(ABS(G67-(E67*F67))&gt;0.01,"Mismatch","OK")</f>
        <v/>
      </c>
      <c r="L67" s="14" t="inlineStr">
        <is>
          <t>OK</t>
        </is>
      </c>
    </row>
    <row r="68">
      <c r="A68" s="9" t="inlineStr">
        <is>
          <t>TXN1146</t>
        </is>
      </c>
      <c r="B68" s="10" t="n">
        <v>45370</v>
      </c>
      <c r="C68" s="11" t="inlineStr">
        <is>
          <t>Omicron Ltd</t>
        </is>
      </c>
      <c r="D68" s="11" t="inlineStr">
        <is>
          <t>Scanner</t>
        </is>
      </c>
      <c r="E68" s="56" t="n">
        <v>7</v>
      </c>
      <c r="F68" s="57" t="n">
        <v>12000</v>
      </c>
      <c r="G68" s="57" t="n">
        <v>84000</v>
      </c>
      <c r="H68" s="14" t="inlineStr">
        <is>
          <t>Paid</t>
        </is>
      </c>
      <c r="I68" s="14">
        <f>IF(COUNTIF($A$3:$A$122,A68)&gt;1,"Duplicate","OK")</f>
        <v/>
      </c>
      <c r="J68" s="14">
        <f>IF(OR(A68="",B68="",C68="",D68=""),"Missing","OK")</f>
        <v/>
      </c>
      <c r="K68" s="14">
        <f>IF(ABS(G68-(E68*F68))&gt;0.01,"Mismatch","OK")</f>
        <v/>
      </c>
      <c r="L68" s="14" t="inlineStr">
        <is>
          <t>OK</t>
        </is>
      </c>
    </row>
    <row r="69">
      <c r="A69" s="3" t="inlineStr">
        <is>
          <t>TXN1147</t>
        </is>
      </c>
      <c r="B69" s="4" t="n">
        <v>45598</v>
      </c>
      <c r="C69" s="59" t="inlineStr">
        <is>
          <t>[BLANK]</t>
        </is>
      </c>
      <c r="D69" s="5" t="inlineStr">
        <is>
          <t>Headphones</t>
        </is>
      </c>
      <c r="E69" s="54" t="n">
        <v>13</v>
      </c>
      <c r="F69" s="55" t="n">
        <v>8500</v>
      </c>
      <c r="G69" s="58" t="n">
        <v>93925</v>
      </c>
      <c r="H69" s="17" t="inlineStr">
        <is>
          <t>Failed</t>
        </is>
      </c>
      <c r="I69" s="14">
        <f>IF(COUNTIF($A$3:$A$122,A69)&gt;1,"Duplicate","OK")</f>
        <v/>
      </c>
      <c r="J69" s="17">
        <f>IF(OR(A69="",B69="",C69="",D69=""),"Missing","OK")</f>
        <v/>
      </c>
      <c r="K69" s="16">
        <f>IF(ABS(G69-(E69*F69))&gt;0.01,"Mismatch","OK")</f>
        <v/>
      </c>
      <c r="L69" s="14" t="inlineStr">
        <is>
          <t>OK</t>
        </is>
      </c>
    </row>
    <row r="70">
      <c r="A70" s="9" t="inlineStr">
        <is>
          <t>TXN1148</t>
        </is>
      </c>
      <c r="B70" s="10" t="n">
        <v>45531</v>
      </c>
      <c r="C70" s="11" t="inlineStr">
        <is>
          <t>Eta Partners</t>
        </is>
      </c>
      <c r="D70" s="11" t="inlineStr">
        <is>
          <t>Tablet</t>
        </is>
      </c>
      <c r="E70" s="56" t="n">
        <v>15</v>
      </c>
      <c r="F70" s="57" t="n">
        <v>32000</v>
      </c>
      <c r="G70" s="57" t="n">
        <v>480000</v>
      </c>
      <c r="H70" s="16" t="inlineStr">
        <is>
          <t>Pending</t>
        </is>
      </c>
      <c r="I70" s="14">
        <f>IF(COUNTIF($A$3:$A$122,A70)&gt;1,"Duplicate","OK")</f>
        <v/>
      </c>
      <c r="J70" s="14">
        <f>IF(OR(A70="",B70="",C70="",D70=""),"Missing","OK")</f>
        <v/>
      </c>
      <c r="K70" s="14">
        <f>IF(ABS(G70-(E70*F70))&gt;0.01,"Mismatch","OK")</f>
        <v/>
      </c>
      <c r="L70" s="14" t="inlineStr">
        <is>
          <t>OK</t>
        </is>
      </c>
    </row>
    <row r="71">
      <c r="A71" s="17" t="inlineStr">
        <is>
          <t>TXN1005</t>
        </is>
      </c>
      <c r="B71" s="4" t="n">
        <v>45633</v>
      </c>
      <c r="C71" s="5" t="inlineStr">
        <is>
          <t>Eta Partners</t>
        </is>
      </c>
      <c r="D71" s="5" t="inlineStr">
        <is>
          <t>USB Hub</t>
        </is>
      </c>
      <c r="E71" s="54" t="n">
        <v>9</v>
      </c>
      <c r="F71" s="55" t="n">
        <v>2200</v>
      </c>
      <c r="G71" s="55" t="n">
        <v>19800</v>
      </c>
      <c r="H71" s="14" t="inlineStr">
        <is>
          <t>Paid</t>
        </is>
      </c>
      <c r="I71" s="17">
        <f>IF(COUNTIF($A$3:$A$122,A71)&gt;1,"Duplicate","OK")</f>
        <v/>
      </c>
      <c r="J71" s="14">
        <f>IF(OR(A71="",B71="",C71="",D71=""),"Missing","OK")</f>
        <v/>
      </c>
      <c r="K71" s="14">
        <f>IF(ABS(G71-(E71*F71))&gt;0.01,"Mismatch","OK")</f>
        <v/>
      </c>
      <c r="L71" s="14" t="inlineStr">
        <is>
          <t>OK</t>
        </is>
      </c>
    </row>
    <row r="72">
      <c r="A72" s="9" t="inlineStr">
        <is>
          <t>TXN1150</t>
        </is>
      </c>
      <c r="B72" s="10" t="n">
        <v>45388</v>
      </c>
      <c r="C72" s="11" t="inlineStr">
        <is>
          <t>Delta Co</t>
        </is>
      </c>
      <c r="D72" s="11" t="inlineStr">
        <is>
          <t>Laptop</t>
        </is>
      </c>
      <c r="E72" s="56" t="n">
        <v>12</v>
      </c>
      <c r="F72" s="57" t="n">
        <v>85000</v>
      </c>
      <c r="G72" s="57" t="n">
        <v>1020000</v>
      </c>
      <c r="H72" s="16" t="inlineStr">
        <is>
          <t>Pending</t>
        </is>
      </c>
      <c r="I72" s="14">
        <f>IF(COUNTIF($A$3:$A$122,A72)&gt;1,"Duplicate","OK")</f>
        <v/>
      </c>
      <c r="J72" s="14">
        <f>IF(OR(A72="",B72="",C72="",D72=""),"Missing","OK")</f>
        <v/>
      </c>
      <c r="K72" s="14">
        <f>IF(ABS(G72-(E72*F72))&gt;0.01,"Mismatch","OK")</f>
        <v/>
      </c>
      <c r="L72" s="14" t="inlineStr">
        <is>
          <t>OK</t>
        </is>
      </c>
    </row>
    <row r="73">
      <c r="A73" s="3" t="inlineStr">
        <is>
          <t>TXN1151</t>
        </is>
      </c>
      <c r="B73" s="4" t="n">
        <v>45301</v>
      </c>
      <c r="C73" s="5" t="inlineStr">
        <is>
          <t>Beta Ltd</t>
        </is>
      </c>
      <c r="D73" s="5" t="inlineStr">
        <is>
          <t>Scanner</t>
        </is>
      </c>
      <c r="E73" s="54" t="n">
        <v>19</v>
      </c>
      <c r="F73" s="55" t="n">
        <v>12000</v>
      </c>
      <c r="G73" s="55" t="n">
        <v>228000</v>
      </c>
      <c r="H73" s="14" t="inlineStr">
        <is>
          <t>Paid</t>
        </is>
      </c>
      <c r="I73" s="14">
        <f>IF(COUNTIF($A$3:$A$122,A73)&gt;1,"Duplicate","OK")</f>
        <v/>
      </c>
      <c r="J73" s="14">
        <f>IF(OR(A73="",B73="",C73="",D73=""),"Missing","OK")</f>
        <v/>
      </c>
      <c r="K73" s="14">
        <f>IF(ABS(G73-(E73*F73))&gt;0.01,"Mismatch","OK")</f>
        <v/>
      </c>
      <c r="L73" s="14" t="inlineStr">
        <is>
          <t>OK</t>
        </is>
      </c>
    </row>
    <row r="74">
      <c r="A74" s="9" t="inlineStr">
        <is>
          <t>TXN1152</t>
        </is>
      </c>
      <c r="B74" s="10" t="n">
        <v>45495</v>
      </c>
      <c r="C74" s="11" t="inlineStr">
        <is>
          <t>Kappa Inc</t>
        </is>
      </c>
      <c r="D74" s="59" t="inlineStr">
        <is>
          <t>[BLANK]</t>
        </is>
      </c>
      <c r="E74" s="56" t="n">
        <v>15</v>
      </c>
      <c r="F74" s="57" t="n">
        <v>5000</v>
      </c>
      <c r="G74" s="57" t="n">
        <v>75000</v>
      </c>
      <c r="H74" s="8" t="inlineStr">
        <is>
          <t>Refunded</t>
        </is>
      </c>
      <c r="I74" s="14">
        <f>IF(COUNTIF($A$3:$A$122,A74)&gt;1,"Duplicate","OK")</f>
        <v/>
      </c>
      <c r="J74" s="17">
        <f>IF(OR(A74="",B74="",C74="",D74=""),"Missing","OK")</f>
        <v/>
      </c>
      <c r="K74" s="14">
        <f>IF(ABS(G74-(E74*F74))&gt;0.01,"Mismatch","OK")</f>
        <v/>
      </c>
      <c r="L74" s="14" t="inlineStr">
        <is>
          <t>OK</t>
        </is>
      </c>
    </row>
    <row r="75">
      <c r="A75" s="3" t="inlineStr">
        <is>
          <t>TXN1153</t>
        </is>
      </c>
      <c r="B75" s="4" t="n">
        <v>45414</v>
      </c>
      <c r="C75" s="5" t="inlineStr">
        <is>
          <t>Acme Corp</t>
        </is>
      </c>
      <c r="D75" s="5" t="inlineStr">
        <is>
          <t>Scanner</t>
        </is>
      </c>
      <c r="E75" s="54" t="n">
        <v>5</v>
      </c>
      <c r="F75" s="55" t="n">
        <v>12000</v>
      </c>
      <c r="G75" s="55" t="n">
        <v>60000</v>
      </c>
      <c r="H75" s="14" t="inlineStr">
        <is>
          <t>Paid</t>
        </is>
      </c>
      <c r="I75" s="14">
        <f>IF(COUNTIF($A$3:$A$122,A75)&gt;1,"Duplicate","OK")</f>
        <v/>
      </c>
      <c r="J75" s="14">
        <f>IF(OR(A75="",B75="",C75="",D75=""),"Missing","OK")</f>
        <v/>
      </c>
      <c r="K75" s="14">
        <f>IF(ABS(G75-(E75*F75))&gt;0.01,"Mismatch","OK")</f>
        <v/>
      </c>
      <c r="L75" s="14" t="inlineStr">
        <is>
          <t>OK</t>
        </is>
      </c>
    </row>
    <row r="76">
      <c r="A76" s="17" t="inlineStr">
        <is>
          <t>TXN1010</t>
        </is>
      </c>
      <c r="B76" s="10" t="n">
        <v>45389</v>
      </c>
      <c r="C76" s="11" t="inlineStr">
        <is>
          <t>Theta Corp</t>
        </is>
      </c>
      <c r="D76" s="11" t="inlineStr">
        <is>
          <t>Webcam</t>
        </is>
      </c>
      <c r="E76" s="56" t="n">
        <v>1</v>
      </c>
      <c r="F76" s="57" t="n">
        <v>4500</v>
      </c>
      <c r="G76" s="57" t="n">
        <v>4500</v>
      </c>
      <c r="H76" s="16" t="inlineStr">
        <is>
          <t>Pending</t>
        </is>
      </c>
      <c r="I76" s="17">
        <f>IF(COUNTIF($A$3:$A$122,A76)&gt;1,"Duplicate","OK")</f>
        <v/>
      </c>
      <c r="J76" s="14">
        <f>IF(OR(A76="",B76="",C76="",D76=""),"Missing","OK")</f>
        <v/>
      </c>
      <c r="K76" s="14">
        <f>IF(ABS(G76-(E76*F76))&gt;0.01,"Mismatch","OK")</f>
        <v/>
      </c>
      <c r="L76" s="14" t="inlineStr">
        <is>
          <t>OK</t>
        </is>
      </c>
    </row>
    <row r="77">
      <c r="A77" s="3" t="inlineStr">
        <is>
          <t>TXN1155</t>
        </is>
      </c>
      <c r="B77" s="4" t="n">
        <v>45377</v>
      </c>
      <c r="C77" s="5" t="inlineStr">
        <is>
          <t>Gamma Inc</t>
        </is>
      </c>
      <c r="D77" s="5" t="inlineStr">
        <is>
          <t>USB Hub</t>
        </is>
      </c>
      <c r="E77" s="54" t="n">
        <v>14</v>
      </c>
      <c r="F77" s="55" t="n">
        <v>2200</v>
      </c>
      <c r="G77" s="58" t="n">
        <v>18480</v>
      </c>
      <c r="H77" s="14" t="inlineStr">
        <is>
          <t>Paid</t>
        </is>
      </c>
      <c r="I77" s="14">
        <f>IF(COUNTIF($A$3:$A$122,A77)&gt;1,"Duplicate","OK")</f>
        <v/>
      </c>
      <c r="J77" s="14">
        <f>IF(OR(A77="",B77="",C77="",D77=""),"Missing","OK")</f>
        <v/>
      </c>
      <c r="K77" s="16">
        <f>IF(ABS(G77-(E77*F77))&gt;0.01,"Mismatch","OK")</f>
        <v/>
      </c>
      <c r="L77" s="14" t="inlineStr">
        <is>
          <t>OK</t>
        </is>
      </c>
    </row>
    <row r="78">
      <c r="A78" s="9" t="inlineStr">
        <is>
          <t>TXN1156</t>
        </is>
      </c>
      <c r="B78" s="10" t="n">
        <v>45450</v>
      </c>
      <c r="C78" s="11" t="inlineStr">
        <is>
          <t>Delta Co</t>
        </is>
      </c>
      <c r="D78" s="11" t="inlineStr">
        <is>
          <t>Tablet</t>
        </is>
      </c>
      <c r="E78" s="56" t="n">
        <v>13</v>
      </c>
      <c r="F78" s="57" t="n">
        <v>32000</v>
      </c>
      <c r="G78" s="57" t="n">
        <v>416000</v>
      </c>
      <c r="H78" s="14" t="inlineStr">
        <is>
          <t>Paid</t>
        </is>
      </c>
      <c r="I78" s="14">
        <f>IF(COUNTIF($A$3:$A$122,A78)&gt;1,"Duplicate","OK")</f>
        <v/>
      </c>
      <c r="J78" s="14">
        <f>IF(OR(A78="",B78="",C78="",D78=""),"Missing","OK")</f>
        <v/>
      </c>
      <c r="K78" s="14">
        <f>IF(ABS(G78-(E78*F78))&gt;0.01,"Mismatch","OK")</f>
        <v/>
      </c>
      <c r="L78" s="14" t="inlineStr">
        <is>
          <t>OK</t>
        </is>
      </c>
    </row>
    <row r="79">
      <c r="A79" s="3" t="inlineStr">
        <is>
          <t>TXN1157</t>
        </is>
      </c>
      <c r="B79" s="4" t="n">
        <v>45407</v>
      </c>
      <c r="C79" s="59" t="inlineStr">
        <is>
          <t>[BLANK]</t>
        </is>
      </c>
      <c r="D79" s="5" t="inlineStr">
        <is>
          <t>USB Hub</t>
        </is>
      </c>
      <c r="E79" s="54" t="n">
        <v>19</v>
      </c>
      <c r="F79" s="55" t="n">
        <v>2200</v>
      </c>
      <c r="G79" s="55" t="n">
        <v>41800</v>
      </c>
      <c r="H79" s="8" t="inlineStr">
        <is>
          <t>Refunded</t>
        </is>
      </c>
      <c r="I79" s="14">
        <f>IF(COUNTIF($A$3:$A$122,A79)&gt;1,"Duplicate","OK")</f>
        <v/>
      </c>
      <c r="J79" s="17">
        <f>IF(OR(A79="",B79="",C79="",D79=""),"Missing","OK")</f>
        <v/>
      </c>
      <c r="K79" s="14">
        <f>IF(ABS(G79-(E79*F79))&gt;0.01,"Mismatch","OK")</f>
        <v/>
      </c>
      <c r="L79" s="14" t="inlineStr">
        <is>
          <t>OK</t>
        </is>
      </c>
    </row>
    <row r="80">
      <c r="A80" s="9" t="inlineStr">
        <is>
          <t>TXN1158</t>
        </is>
      </c>
      <c r="B80" s="10" t="n">
        <v>45301</v>
      </c>
      <c r="C80" s="11" t="inlineStr">
        <is>
          <t>Lambda Co</t>
        </is>
      </c>
      <c r="D80" s="11" t="inlineStr">
        <is>
          <t>USB Hub</t>
        </is>
      </c>
      <c r="E80" s="61" t="n">
        <v>-3</v>
      </c>
      <c r="F80" s="57" t="n">
        <v>2200</v>
      </c>
      <c r="G80" s="57" t="n">
        <v>-6600</v>
      </c>
      <c r="H80" s="14" t="inlineStr">
        <is>
          <t>Paid</t>
        </is>
      </c>
      <c r="I80" s="14">
        <f>IF(COUNTIF($A$3:$A$122,A80)&gt;1,"Duplicate","OK")</f>
        <v/>
      </c>
      <c r="J80" s="14">
        <f>IF(OR(A80="",B80="",C80="",D80=""),"Missing","OK")</f>
        <v/>
      </c>
      <c r="K80" s="14">
        <f>IF(ABS(G80-(E80*F80))&gt;0.01,"Mismatch","OK")</f>
        <v/>
      </c>
      <c r="L80" s="62" t="inlineStr">
        <is>
          <t>Negative Qty</t>
        </is>
      </c>
    </row>
    <row r="81">
      <c r="A81" s="3" t="inlineStr">
        <is>
          <t>TXN1159</t>
        </is>
      </c>
      <c r="B81" s="4" t="n">
        <v>45515</v>
      </c>
      <c r="C81" s="5" t="inlineStr">
        <is>
          <t>Omicron Ltd</t>
        </is>
      </c>
      <c r="D81" s="5" t="inlineStr">
        <is>
          <t>Mouse</t>
        </is>
      </c>
      <c r="E81" s="54" t="n">
        <v>5</v>
      </c>
      <c r="F81" s="55" t="n">
        <v>1200</v>
      </c>
      <c r="G81" s="55" t="n">
        <v>6000</v>
      </c>
      <c r="H81" s="14" t="inlineStr">
        <is>
          <t>Paid</t>
        </is>
      </c>
      <c r="I81" s="14">
        <f>IF(COUNTIF($A$3:$A$122,A81)&gt;1,"Duplicate","OK")</f>
        <v/>
      </c>
      <c r="J81" s="14">
        <f>IF(OR(A81="",B81="",C81="",D81=""),"Missing","OK")</f>
        <v/>
      </c>
      <c r="K81" s="14">
        <f>IF(ABS(G81-(E81*F81))&gt;0.01,"Mismatch","OK")</f>
        <v/>
      </c>
      <c r="L81" s="14" t="inlineStr">
        <is>
          <t>OK</t>
        </is>
      </c>
    </row>
    <row r="82">
      <c r="A82" s="9" t="inlineStr">
        <is>
          <t>TXN1160</t>
        </is>
      </c>
      <c r="B82" s="10" t="n">
        <v>45546</v>
      </c>
      <c r="C82" s="11" t="inlineStr">
        <is>
          <t>Xi Corp</t>
        </is>
      </c>
      <c r="D82" s="11" t="inlineStr">
        <is>
          <t>Scanner</t>
        </is>
      </c>
      <c r="E82" s="56" t="n">
        <v>20</v>
      </c>
      <c r="F82" s="57" t="n">
        <v>12000</v>
      </c>
      <c r="G82" s="57" t="n">
        <v>240000</v>
      </c>
      <c r="H82" s="8" t="inlineStr">
        <is>
          <t>Refunded</t>
        </is>
      </c>
      <c r="I82" s="14">
        <f>IF(COUNTIF($A$3:$A$122,A82)&gt;1,"Duplicate","OK")</f>
        <v/>
      </c>
      <c r="J82" s="14">
        <f>IF(OR(A82="",B82="",C82="",D82=""),"Missing","OK")</f>
        <v/>
      </c>
      <c r="K82" s="14">
        <f>IF(ABS(G82-(E82*F82))&gt;0.01,"Mismatch","OK")</f>
        <v/>
      </c>
      <c r="L82" s="14" t="inlineStr">
        <is>
          <t>OK</t>
        </is>
      </c>
    </row>
    <row r="83">
      <c r="A83" s="3" t="inlineStr">
        <is>
          <t>TXN1161</t>
        </is>
      </c>
      <c r="B83" s="4" t="n">
        <v>45533</v>
      </c>
      <c r="C83" s="5" t="inlineStr">
        <is>
          <t>Lambda Co</t>
        </is>
      </c>
      <c r="D83" s="5" t="inlineStr">
        <is>
          <t>Webcam</t>
        </is>
      </c>
      <c r="E83" s="54" t="n">
        <v>5</v>
      </c>
      <c r="F83" s="55" t="n">
        <v>4500</v>
      </c>
      <c r="G83" s="55" t="n">
        <v>22500</v>
      </c>
      <c r="H83" s="16" t="inlineStr">
        <is>
          <t>Pending</t>
        </is>
      </c>
      <c r="I83" s="14">
        <f>IF(COUNTIF($A$3:$A$122,A83)&gt;1,"Duplicate","OK")</f>
        <v/>
      </c>
      <c r="J83" s="14">
        <f>IF(OR(A83="",B83="",C83="",D83=""),"Missing","OK")</f>
        <v/>
      </c>
      <c r="K83" s="14">
        <f>IF(ABS(G83-(E83*F83))&gt;0.01,"Mismatch","OK")</f>
        <v/>
      </c>
      <c r="L83" s="14" t="inlineStr">
        <is>
          <t>OK</t>
        </is>
      </c>
    </row>
    <row r="84">
      <c r="A84" s="9" t="inlineStr">
        <is>
          <t>TXN1162</t>
        </is>
      </c>
      <c r="B84" s="60" t="inlineStr"/>
      <c r="C84" s="11" t="inlineStr">
        <is>
          <t>Gamma Inc</t>
        </is>
      </c>
      <c r="D84" s="11" t="inlineStr">
        <is>
          <t>Webcam</t>
        </is>
      </c>
      <c r="E84" s="56" t="n">
        <v>10</v>
      </c>
      <c r="F84" s="57" t="n">
        <v>4500</v>
      </c>
      <c r="G84" s="57" t="n">
        <v>45000</v>
      </c>
      <c r="H84" s="16" t="inlineStr">
        <is>
          <t>Pending</t>
        </is>
      </c>
      <c r="I84" s="14">
        <f>IF(COUNTIF($A$3:$A$122,A84)&gt;1,"Duplicate","OK")</f>
        <v/>
      </c>
      <c r="J84" s="17">
        <f>IF(OR(A84="",B84="",C84="",D84=""),"Missing","OK")</f>
        <v/>
      </c>
      <c r="K84" s="14">
        <f>IF(ABS(G84-(E84*F84))&gt;0.01,"Mismatch","OK")</f>
        <v/>
      </c>
      <c r="L84" s="14" t="inlineStr">
        <is>
          <t>OK</t>
        </is>
      </c>
    </row>
    <row r="85">
      <c r="A85" s="3" t="inlineStr">
        <is>
          <t>TXN1163</t>
        </is>
      </c>
      <c r="B85" s="4" t="n">
        <v>45619</v>
      </c>
      <c r="C85" s="5" t="inlineStr">
        <is>
          <t>Lambda Co</t>
        </is>
      </c>
      <c r="D85" s="5" t="inlineStr">
        <is>
          <t>Laptop</t>
        </is>
      </c>
      <c r="E85" s="54" t="n">
        <v>3</v>
      </c>
      <c r="F85" s="55" t="n">
        <v>85000</v>
      </c>
      <c r="G85" s="58" t="n">
        <v>318750</v>
      </c>
      <c r="H85" s="14" t="inlineStr">
        <is>
          <t>Paid</t>
        </is>
      </c>
      <c r="I85" s="14">
        <f>IF(COUNTIF($A$3:$A$122,A85)&gt;1,"Duplicate","OK")</f>
        <v/>
      </c>
      <c r="J85" s="14">
        <f>IF(OR(A85="",B85="",C85="",D85=""),"Missing","OK")</f>
        <v/>
      </c>
      <c r="K85" s="16">
        <f>IF(ABS(G85-(E85*F85))&gt;0.01,"Mismatch","OK")</f>
        <v/>
      </c>
      <c r="L85" s="14" t="inlineStr">
        <is>
          <t>OK</t>
        </is>
      </c>
    </row>
    <row r="86">
      <c r="A86" s="9" t="inlineStr">
        <is>
          <t>TXN1164</t>
        </is>
      </c>
      <c r="B86" s="10" t="n">
        <v>45387</v>
      </c>
      <c r="C86" s="11" t="inlineStr">
        <is>
          <t>Iota Ltd</t>
        </is>
      </c>
      <c r="D86" s="11" t="inlineStr">
        <is>
          <t>Monitor</t>
        </is>
      </c>
      <c r="E86" s="56" t="n">
        <v>7</v>
      </c>
      <c r="F86" s="57" t="n">
        <v>22000</v>
      </c>
      <c r="G86" s="57" t="n">
        <v>154000</v>
      </c>
      <c r="H86" s="16" t="inlineStr">
        <is>
          <t>Pending</t>
        </is>
      </c>
      <c r="I86" s="14">
        <f>IF(COUNTIF($A$3:$A$122,A86)&gt;1,"Duplicate","OK")</f>
        <v/>
      </c>
      <c r="J86" s="14">
        <f>IF(OR(A86="",B86="",C86="",D86=""),"Missing","OK")</f>
        <v/>
      </c>
      <c r="K86" s="14">
        <f>IF(ABS(G86-(E86*F86))&gt;0.01,"Mismatch","OK")</f>
        <v/>
      </c>
      <c r="L86" s="14" t="inlineStr">
        <is>
          <t>OK</t>
        </is>
      </c>
    </row>
    <row r="87">
      <c r="A87" s="3" t="inlineStr">
        <is>
          <t>TXN1165</t>
        </is>
      </c>
      <c r="B87" s="4" t="n">
        <v>45430</v>
      </c>
      <c r="C87" s="5" t="inlineStr">
        <is>
          <t>Zeta Group</t>
        </is>
      </c>
      <c r="D87" s="5" t="inlineStr">
        <is>
          <t>Laptop</t>
        </is>
      </c>
      <c r="E87" s="54" t="n">
        <v>6</v>
      </c>
      <c r="F87" s="55" t="n">
        <v>85000</v>
      </c>
      <c r="G87" s="55" t="n">
        <v>510000</v>
      </c>
      <c r="H87" s="14" t="inlineStr">
        <is>
          <t>Paid</t>
        </is>
      </c>
      <c r="I87" s="14">
        <f>IF(COUNTIF($A$3:$A$122,A87)&gt;1,"Duplicate","OK")</f>
        <v/>
      </c>
      <c r="J87" s="14">
        <f>IF(OR(A87="",B87="",C87="",D87=""),"Missing","OK")</f>
        <v/>
      </c>
      <c r="K87" s="14">
        <f>IF(ABS(G87-(E87*F87))&gt;0.01,"Mismatch","OK")</f>
        <v/>
      </c>
      <c r="L87" s="14" t="inlineStr">
        <is>
          <t>OK</t>
        </is>
      </c>
    </row>
    <row r="88">
      <c r="A88" s="9" t="inlineStr">
        <is>
          <t>TXN1166</t>
        </is>
      </c>
      <c r="B88" s="10" t="n">
        <v>45591</v>
      </c>
      <c r="C88" s="11" t="inlineStr">
        <is>
          <t>Theta Corp</t>
        </is>
      </c>
      <c r="D88" s="11" t="inlineStr">
        <is>
          <t>Headphones</t>
        </is>
      </c>
      <c r="E88" s="56" t="n">
        <v>13</v>
      </c>
      <c r="F88" s="57" t="n">
        <v>8500</v>
      </c>
      <c r="G88" s="57" t="n">
        <v>110500</v>
      </c>
      <c r="H88" s="14" t="inlineStr">
        <is>
          <t>Paid</t>
        </is>
      </c>
      <c r="I88" s="14">
        <f>IF(COUNTIF($A$3:$A$122,A88)&gt;1,"Duplicate","OK")</f>
        <v/>
      </c>
      <c r="J88" s="14">
        <f>IF(OR(A88="",B88="",C88="",D88=""),"Missing","OK")</f>
        <v/>
      </c>
      <c r="K88" s="14">
        <f>IF(ABS(G88-(E88*F88))&gt;0.01,"Mismatch","OK")</f>
        <v/>
      </c>
      <c r="L88" s="14" t="inlineStr">
        <is>
          <t>OK</t>
        </is>
      </c>
    </row>
    <row r="89">
      <c r="A89" s="3" t="inlineStr">
        <is>
          <t>TXN1167</t>
        </is>
      </c>
      <c r="B89" s="4" t="n">
        <v>45308</v>
      </c>
      <c r="C89" s="59" t="inlineStr">
        <is>
          <t>[BLANK]</t>
        </is>
      </c>
      <c r="D89" s="5" t="inlineStr">
        <is>
          <t>Monitor</t>
        </is>
      </c>
      <c r="E89" s="54" t="n">
        <v>8</v>
      </c>
      <c r="F89" s="55" t="n">
        <v>22000</v>
      </c>
      <c r="G89" s="55" t="n">
        <v>176000</v>
      </c>
      <c r="H89" s="16" t="inlineStr">
        <is>
          <t>Pending</t>
        </is>
      </c>
      <c r="I89" s="14">
        <f>IF(COUNTIF($A$3:$A$122,A89)&gt;1,"Duplicate","OK")</f>
        <v/>
      </c>
      <c r="J89" s="17">
        <f>IF(OR(A89="",B89="",C89="",D89=""),"Missing","OK")</f>
        <v/>
      </c>
      <c r="K89" s="14">
        <f>IF(ABS(G89-(E89*F89))&gt;0.01,"Mismatch","OK")</f>
        <v/>
      </c>
      <c r="L89" s="14" t="inlineStr">
        <is>
          <t>OK</t>
        </is>
      </c>
    </row>
    <row r="90">
      <c r="A90" s="9" t="inlineStr">
        <is>
          <t>TXN1168</t>
        </is>
      </c>
      <c r="B90" s="10" t="n">
        <v>45567</v>
      </c>
      <c r="C90" s="11" t="inlineStr">
        <is>
          <t>Epsilon LLC</t>
        </is>
      </c>
      <c r="D90" s="11" t="inlineStr">
        <is>
          <t>Tablet</t>
        </is>
      </c>
      <c r="E90" s="56" t="n">
        <v>7</v>
      </c>
      <c r="F90" s="57" t="n">
        <v>32000</v>
      </c>
      <c r="G90" s="57" t="n">
        <v>224000</v>
      </c>
      <c r="H90" s="14" t="inlineStr">
        <is>
          <t>Paid</t>
        </is>
      </c>
      <c r="I90" s="14">
        <f>IF(COUNTIF($A$3:$A$122,A90)&gt;1,"Duplicate","OK")</f>
        <v/>
      </c>
      <c r="J90" s="14">
        <f>IF(OR(A90="",B90="",C90="",D90=""),"Missing","OK")</f>
        <v/>
      </c>
      <c r="K90" s="14">
        <f>IF(ABS(G90-(E90*F90))&gt;0.01,"Mismatch","OK")</f>
        <v/>
      </c>
      <c r="L90" s="14" t="inlineStr">
        <is>
          <t>OK</t>
        </is>
      </c>
    </row>
    <row r="91">
      <c r="A91" s="3" t="inlineStr">
        <is>
          <t>TXN1169</t>
        </is>
      </c>
      <c r="B91" s="4" t="n">
        <v>45560</v>
      </c>
      <c r="C91" s="5" t="inlineStr">
        <is>
          <t>Eta Partners</t>
        </is>
      </c>
      <c r="D91" s="5" t="inlineStr">
        <is>
          <t>Monitor</t>
        </is>
      </c>
      <c r="E91" s="54" t="n">
        <v>11</v>
      </c>
      <c r="F91" s="63" t="n">
        <v>0</v>
      </c>
      <c r="G91" s="55" t="n">
        <v>0</v>
      </c>
      <c r="H91" s="14" t="inlineStr">
        <is>
          <t>Paid</t>
        </is>
      </c>
      <c r="I91" s="14">
        <f>IF(COUNTIF($A$3:$A$122,A91)&gt;1,"Duplicate","OK")</f>
        <v/>
      </c>
      <c r="J91" s="14">
        <f>IF(OR(A91="",B91="",C91="",D91=""),"Missing","OK")</f>
        <v/>
      </c>
      <c r="K91" s="14">
        <f>IF(ABS(G91-(E91*F91))&gt;0.01,"Mismatch","OK")</f>
        <v/>
      </c>
      <c r="L91" s="62" t="inlineStr">
        <is>
          <t>Zero Price</t>
        </is>
      </c>
    </row>
    <row r="92">
      <c r="A92" s="9" t="inlineStr">
        <is>
          <t>TXN1170</t>
        </is>
      </c>
      <c r="B92" s="10" t="n">
        <v>45401</v>
      </c>
      <c r="C92" s="11" t="inlineStr">
        <is>
          <t xml:space="preserve">  Iota Ltd  </t>
        </is>
      </c>
      <c r="D92" s="11" t="inlineStr">
        <is>
          <t>Laptop</t>
        </is>
      </c>
      <c r="E92" s="56" t="n">
        <v>12</v>
      </c>
      <c r="F92" s="57" t="n">
        <v>85000</v>
      </c>
      <c r="G92" s="57" t="n">
        <v>1020000</v>
      </c>
      <c r="H92" s="14" t="inlineStr">
        <is>
          <t>Paid</t>
        </is>
      </c>
      <c r="I92" s="14">
        <f>IF(COUNTIF($A$3:$A$122,A92)&gt;1,"Duplicate","OK")</f>
        <v/>
      </c>
      <c r="J92" s="14">
        <f>IF(OR(A92="",B92="",C92="",D92=""),"Missing","OK")</f>
        <v/>
      </c>
      <c r="K92" s="14">
        <f>IF(ABS(G92-(E92*F92))&gt;0.01,"Mismatch","OK")</f>
        <v/>
      </c>
      <c r="L92" s="14" t="inlineStr">
        <is>
          <t>OK</t>
        </is>
      </c>
    </row>
    <row r="93">
      <c r="A93" s="3" t="inlineStr">
        <is>
          <t>TXN1171</t>
        </is>
      </c>
      <c r="B93" s="4" t="n">
        <v>45302</v>
      </c>
      <c r="C93" s="5" t="inlineStr">
        <is>
          <t>Mu Holdings</t>
        </is>
      </c>
      <c r="D93" s="5" t="inlineStr">
        <is>
          <t>Webcam</t>
        </is>
      </c>
      <c r="E93" s="54" t="n">
        <v>16</v>
      </c>
      <c r="F93" s="55" t="n">
        <v>4500</v>
      </c>
      <c r="G93" s="58" t="n">
        <v>144000</v>
      </c>
      <c r="H93" s="14" t="inlineStr">
        <is>
          <t>Paid</t>
        </is>
      </c>
      <c r="I93" s="14">
        <f>IF(COUNTIF($A$3:$A$122,A93)&gt;1,"Duplicate","OK")</f>
        <v/>
      </c>
      <c r="J93" s="14">
        <f>IF(OR(A93="",B93="",C93="",D93=""),"Missing","OK")</f>
        <v/>
      </c>
      <c r="K93" s="16">
        <f>IF(ABS(G93-(E93*F93))&gt;0.01,"Mismatch","OK")</f>
        <v/>
      </c>
      <c r="L93" s="14" t="inlineStr">
        <is>
          <t>OK</t>
        </is>
      </c>
    </row>
    <row r="94">
      <c r="A94" s="9" t="inlineStr">
        <is>
          <t>TXN1172</t>
        </is>
      </c>
      <c r="B94" s="10" t="n">
        <v>45518</v>
      </c>
      <c r="C94" s="11" t="inlineStr">
        <is>
          <t>Nu Ventures</t>
        </is>
      </c>
      <c r="D94" s="59" t="inlineStr">
        <is>
          <t>[BLANK]</t>
        </is>
      </c>
      <c r="E94" s="56" t="n">
        <v>1</v>
      </c>
      <c r="F94" s="57" t="n">
        <v>5000</v>
      </c>
      <c r="G94" s="57" t="n">
        <v>5000</v>
      </c>
      <c r="H94" s="16" t="inlineStr">
        <is>
          <t>Pending</t>
        </is>
      </c>
      <c r="I94" s="14">
        <f>IF(COUNTIF($A$3:$A$122,A94)&gt;1,"Duplicate","OK")</f>
        <v/>
      </c>
      <c r="J94" s="17">
        <f>IF(OR(A94="",B94="",C94="",D94=""),"Missing","OK")</f>
        <v/>
      </c>
      <c r="K94" s="14">
        <f>IF(ABS(G94-(E94*F94))&gt;0.01,"Mismatch","OK")</f>
        <v/>
      </c>
      <c r="L94" s="14" t="inlineStr">
        <is>
          <t>OK</t>
        </is>
      </c>
    </row>
    <row r="95">
      <c r="A95" s="3" t="inlineStr">
        <is>
          <t>TXN1173</t>
        </is>
      </c>
      <c r="B95" s="4" t="n">
        <v>45639</v>
      </c>
      <c r="C95" s="5" t="inlineStr">
        <is>
          <t>Acme Corp</t>
        </is>
      </c>
      <c r="D95" s="5" t="inlineStr">
        <is>
          <t>Mouse</t>
        </is>
      </c>
      <c r="E95" s="54" t="n">
        <v>20</v>
      </c>
      <c r="F95" s="55" t="n">
        <v>1200</v>
      </c>
      <c r="G95" s="55" t="n">
        <v>24000</v>
      </c>
      <c r="H95" s="14" t="inlineStr">
        <is>
          <t>Paid</t>
        </is>
      </c>
      <c r="I95" s="14">
        <f>IF(COUNTIF($A$3:$A$122,A95)&gt;1,"Duplicate","OK")</f>
        <v/>
      </c>
      <c r="J95" s="14">
        <f>IF(OR(A95="",B95="",C95="",D95=""),"Missing","OK")</f>
        <v/>
      </c>
      <c r="K95" s="14">
        <f>IF(ABS(G95-(E95*F95))&gt;0.01,"Mismatch","OK")</f>
        <v/>
      </c>
      <c r="L95" s="14" t="inlineStr">
        <is>
          <t>OK</t>
        </is>
      </c>
    </row>
    <row r="96">
      <c r="A96" s="9" t="inlineStr">
        <is>
          <t>TXN1174</t>
        </is>
      </c>
      <c r="B96" s="10" t="n">
        <v>45450</v>
      </c>
      <c r="C96" s="11" t="inlineStr">
        <is>
          <t>Eta Partners</t>
        </is>
      </c>
      <c r="D96" s="11" t="inlineStr">
        <is>
          <t>Mouse</t>
        </is>
      </c>
      <c r="E96" s="56" t="n">
        <v>15</v>
      </c>
      <c r="F96" s="57" t="n">
        <v>1200</v>
      </c>
      <c r="G96" s="57" t="n">
        <v>18000</v>
      </c>
      <c r="H96" s="16" t="inlineStr">
        <is>
          <t>Pending</t>
        </is>
      </c>
      <c r="I96" s="14">
        <f>IF(COUNTIF($A$3:$A$122,A96)&gt;1,"Duplicate","OK")</f>
        <v/>
      </c>
      <c r="J96" s="14">
        <f>IF(OR(A96="",B96="",C96="",D96=""),"Missing","OK")</f>
        <v/>
      </c>
      <c r="K96" s="14">
        <f>IF(ABS(G96-(E96*F96))&gt;0.01,"Mismatch","OK")</f>
        <v/>
      </c>
      <c r="L96" s="14" t="inlineStr">
        <is>
          <t>OK</t>
        </is>
      </c>
    </row>
    <row r="97">
      <c r="A97" s="3" t="inlineStr">
        <is>
          <t>TXN1175</t>
        </is>
      </c>
      <c r="B97" s="4" t="n">
        <v>45297</v>
      </c>
      <c r="C97" s="5" t="inlineStr">
        <is>
          <t>Omicron Ltd</t>
        </is>
      </c>
      <c r="D97" s="5" t="inlineStr">
        <is>
          <t>Webcam</t>
        </is>
      </c>
      <c r="E97" s="54" t="n">
        <v>6</v>
      </c>
      <c r="F97" s="55" t="n">
        <v>4500</v>
      </c>
      <c r="G97" s="55" t="n">
        <v>27000</v>
      </c>
      <c r="H97" s="16" t="inlineStr">
        <is>
          <t>Pending</t>
        </is>
      </c>
      <c r="I97" s="14">
        <f>IF(COUNTIF($A$3:$A$122,A97)&gt;1,"Duplicate","OK")</f>
        <v/>
      </c>
      <c r="J97" s="14">
        <f>IF(OR(A97="",B97="",C97="",D97=""),"Missing","OK")</f>
        <v/>
      </c>
      <c r="K97" s="14">
        <f>IF(ABS(G97-(E97*F97))&gt;0.01,"Mismatch","OK")</f>
        <v/>
      </c>
      <c r="L97" s="14" t="inlineStr">
        <is>
          <t>OK</t>
        </is>
      </c>
    </row>
    <row r="98">
      <c r="A98" s="9" t="inlineStr">
        <is>
          <t>TXN1176</t>
        </is>
      </c>
      <c r="B98" s="10" t="n">
        <v>45602</v>
      </c>
      <c r="C98" s="11" t="inlineStr">
        <is>
          <t>Acme Corp</t>
        </is>
      </c>
      <c r="D98" s="11" t="inlineStr">
        <is>
          <t>Tablet</t>
        </is>
      </c>
      <c r="E98" s="56" t="n">
        <v>6</v>
      </c>
      <c r="F98" s="57" t="n">
        <v>32000</v>
      </c>
      <c r="G98" s="57" t="n">
        <v>192000</v>
      </c>
      <c r="H98" s="14" t="inlineStr">
        <is>
          <t>Paid</t>
        </is>
      </c>
      <c r="I98" s="14">
        <f>IF(COUNTIF($A$3:$A$122,A98)&gt;1,"Duplicate","OK")</f>
        <v/>
      </c>
      <c r="J98" s="14">
        <f>IF(OR(A98="",B98="",C98="",D98=""),"Missing","OK")</f>
        <v/>
      </c>
      <c r="K98" s="14">
        <f>IF(ABS(G98-(E98*F98))&gt;0.01,"Mismatch","OK")</f>
        <v/>
      </c>
      <c r="L98" s="14" t="inlineStr">
        <is>
          <t>OK</t>
        </is>
      </c>
    </row>
    <row r="99">
      <c r="A99" s="3" t="inlineStr">
        <is>
          <t>TXN1177</t>
        </is>
      </c>
      <c r="B99" s="4" t="n">
        <v>45566</v>
      </c>
      <c r="C99" s="59" t="inlineStr">
        <is>
          <t>[BLANK]</t>
        </is>
      </c>
      <c r="D99" s="5" t="inlineStr">
        <is>
          <t>Scanner</t>
        </is>
      </c>
      <c r="E99" s="54" t="n">
        <v>14</v>
      </c>
      <c r="F99" s="55" t="n">
        <v>12000</v>
      </c>
      <c r="G99" s="55" t="n">
        <v>168000</v>
      </c>
      <c r="H99" s="14" t="inlineStr">
        <is>
          <t>Paid</t>
        </is>
      </c>
      <c r="I99" s="14">
        <f>IF(COUNTIF($A$3:$A$122,A99)&gt;1,"Duplicate","OK")</f>
        <v/>
      </c>
      <c r="J99" s="17">
        <f>IF(OR(A99="",B99="",C99="",D99=""),"Missing","OK")</f>
        <v/>
      </c>
      <c r="K99" s="14">
        <f>IF(ABS(G99-(E99*F99))&gt;0.01,"Mismatch","OK")</f>
        <v/>
      </c>
      <c r="L99" s="14" t="inlineStr">
        <is>
          <t>OK</t>
        </is>
      </c>
    </row>
    <row r="100">
      <c r="A100" s="9" t="inlineStr">
        <is>
          <t>TXN1178</t>
        </is>
      </c>
      <c r="B100" s="10" t="n">
        <v>45407</v>
      </c>
      <c r="C100" s="11" t="inlineStr">
        <is>
          <t>Iota Ltd</t>
        </is>
      </c>
      <c r="D100" s="11" t="inlineStr">
        <is>
          <t>Scanner</t>
        </is>
      </c>
      <c r="E100" s="56" t="n">
        <v>10</v>
      </c>
      <c r="F100" s="57" t="n">
        <v>12000</v>
      </c>
      <c r="G100" s="57" t="n">
        <v>120000</v>
      </c>
      <c r="H100" s="8" t="inlineStr">
        <is>
          <t>Refunded</t>
        </is>
      </c>
      <c r="I100" s="14">
        <f>IF(COUNTIF($A$3:$A$122,A100)&gt;1,"Duplicate","OK")</f>
        <v/>
      </c>
      <c r="J100" s="14">
        <f>IF(OR(A100="",B100="",C100="",D100=""),"Missing","OK")</f>
        <v/>
      </c>
      <c r="K100" s="14">
        <f>IF(ABS(G100-(E100*F100))&gt;0.01,"Mismatch","OK")</f>
        <v/>
      </c>
      <c r="L100" s="14" t="inlineStr">
        <is>
          <t>OK</t>
        </is>
      </c>
    </row>
    <row r="101">
      <c r="A101" s="3" t="inlineStr">
        <is>
          <t>TXN1179</t>
        </is>
      </c>
      <c r="B101" s="4" t="n">
        <v>45477</v>
      </c>
      <c r="C101" s="5" t="inlineStr">
        <is>
          <t>Omicron Ltd</t>
        </is>
      </c>
      <c r="D101" s="5" t="inlineStr">
        <is>
          <t>Monitor</t>
        </is>
      </c>
      <c r="E101" s="54" t="n">
        <v>8</v>
      </c>
      <c r="F101" s="55" t="n">
        <v>22000</v>
      </c>
      <c r="G101" s="58" t="n">
        <v>352000</v>
      </c>
      <c r="H101" s="14" t="inlineStr">
        <is>
          <t>Paid</t>
        </is>
      </c>
      <c r="I101" s="14">
        <f>IF(COUNTIF($A$3:$A$122,A101)&gt;1,"Duplicate","OK")</f>
        <v/>
      </c>
      <c r="J101" s="14">
        <f>IF(OR(A101="",B101="",C101="",D101=""),"Missing","OK")</f>
        <v/>
      </c>
      <c r="K101" s="16">
        <f>IF(ABS(G101-(E101*F101))&gt;0.01,"Mismatch","OK")</f>
        <v/>
      </c>
      <c r="L101" s="14" t="inlineStr">
        <is>
          <t>OK</t>
        </is>
      </c>
    </row>
    <row r="102">
      <c r="A102" s="9" t="inlineStr">
        <is>
          <t>TXN1180</t>
        </is>
      </c>
      <c r="B102" s="10" t="n">
        <v>45472</v>
      </c>
      <c r="C102" s="11" t="inlineStr">
        <is>
          <t>Iota Ltd</t>
        </is>
      </c>
      <c r="D102" s="11" t="inlineStr">
        <is>
          <t>Webcam</t>
        </is>
      </c>
      <c r="E102" s="56" t="n">
        <v>19</v>
      </c>
      <c r="F102" s="57" t="n">
        <v>4500</v>
      </c>
      <c r="G102" s="57" t="n">
        <v>85500</v>
      </c>
      <c r="H102" s="14" t="inlineStr">
        <is>
          <t>Paid</t>
        </is>
      </c>
      <c r="I102" s="14">
        <f>IF(COUNTIF($A$3:$A$122,A102)&gt;1,"Duplicate","OK")</f>
        <v/>
      </c>
      <c r="J102" s="14">
        <f>IF(OR(A102="",B102="",C102="",D102=""),"Missing","OK")</f>
        <v/>
      </c>
      <c r="K102" s="14">
        <f>IF(ABS(G102-(E102*F102))&gt;0.01,"Mismatch","OK")</f>
        <v/>
      </c>
      <c r="L102" s="14" t="inlineStr">
        <is>
          <t>OK</t>
        </is>
      </c>
    </row>
    <row r="103">
      <c r="A103" s="3" t="inlineStr">
        <is>
          <t>TXN1181</t>
        </is>
      </c>
      <c r="B103" s="4" t="n">
        <v>45305</v>
      </c>
      <c r="C103" s="5" t="inlineStr">
        <is>
          <t>Omicron Ltd</t>
        </is>
      </c>
      <c r="D103" s="5" t="inlineStr">
        <is>
          <t>Tablet</t>
        </is>
      </c>
      <c r="E103" s="54" t="n">
        <v>19</v>
      </c>
      <c r="F103" s="55" t="n">
        <v>32000</v>
      </c>
      <c r="G103" s="55" t="n">
        <v>608000</v>
      </c>
      <c r="H103" s="14" t="inlineStr">
        <is>
          <t>Paid</t>
        </is>
      </c>
      <c r="I103" s="14">
        <f>IF(COUNTIF($A$3:$A$122,A103)&gt;1,"Duplicate","OK")</f>
        <v/>
      </c>
      <c r="J103" s="14">
        <f>IF(OR(A103="",B103="",C103="",D103=""),"Missing","OK")</f>
        <v/>
      </c>
      <c r="K103" s="14">
        <f>IF(ABS(G103-(E103*F103))&gt;0.01,"Mismatch","OK")</f>
        <v/>
      </c>
      <c r="L103" s="14" t="inlineStr">
        <is>
          <t>OK</t>
        </is>
      </c>
    </row>
    <row r="104">
      <c r="A104" s="9" t="inlineStr">
        <is>
          <t>TXN1182</t>
        </is>
      </c>
      <c r="B104" s="60" t="inlineStr"/>
      <c r="C104" s="11" t="inlineStr">
        <is>
          <t>Lambda Co</t>
        </is>
      </c>
      <c r="D104" s="11" t="inlineStr">
        <is>
          <t>Mouse</t>
        </is>
      </c>
      <c r="E104" s="56" t="n">
        <v>4</v>
      </c>
      <c r="F104" s="57" t="n">
        <v>1200</v>
      </c>
      <c r="G104" s="57" t="n">
        <v>4800</v>
      </c>
      <c r="H104" s="14" t="inlineStr">
        <is>
          <t>Paid</t>
        </is>
      </c>
      <c r="I104" s="14">
        <f>IF(COUNTIF($A$3:$A$122,A104)&gt;1,"Duplicate","OK")</f>
        <v/>
      </c>
      <c r="J104" s="17">
        <f>IF(OR(A104="",B104="",C104="",D104=""),"Missing","OK")</f>
        <v/>
      </c>
      <c r="K104" s="14">
        <f>IF(ABS(G104-(E104*F104))&gt;0.01,"Mismatch","OK")</f>
        <v/>
      </c>
      <c r="L104" s="14" t="inlineStr">
        <is>
          <t>OK</t>
        </is>
      </c>
    </row>
    <row r="105">
      <c r="A105" s="3" t="inlineStr">
        <is>
          <t>TXN1183</t>
        </is>
      </c>
      <c r="B105" s="4" t="n">
        <v>45564</v>
      </c>
      <c r="C105" s="5" t="inlineStr">
        <is>
          <t>Iota Ltd</t>
        </is>
      </c>
      <c r="D105" s="5" t="inlineStr">
        <is>
          <t>Webcam</t>
        </is>
      </c>
      <c r="E105" s="54" t="n">
        <v>17</v>
      </c>
      <c r="F105" s="55" t="n">
        <v>4500</v>
      </c>
      <c r="G105" s="55" t="n">
        <v>76500</v>
      </c>
      <c r="H105" s="16" t="inlineStr">
        <is>
          <t>Pending</t>
        </is>
      </c>
      <c r="I105" s="14">
        <f>IF(COUNTIF($A$3:$A$122,A105)&gt;1,"Duplicate","OK")</f>
        <v/>
      </c>
      <c r="J105" s="14">
        <f>IF(OR(A105="",B105="",C105="",D105=""),"Missing","OK")</f>
        <v/>
      </c>
      <c r="K105" s="14">
        <f>IF(ABS(G105-(E105*F105))&gt;0.01,"Mismatch","OK")</f>
        <v/>
      </c>
      <c r="L105" s="14" t="inlineStr">
        <is>
          <t>OK</t>
        </is>
      </c>
    </row>
    <row r="106">
      <c r="A106" s="9" t="inlineStr">
        <is>
          <t>TXN1184</t>
        </is>
      </c>
      <c r="B106" s="10" t="n">
        <v>45354</v>
      </c>
      <c r="C106" s="11" t="inlineStr">
        <is>
          <t>Gamma Inc</t>
        </is>
      </c>
      <c r="D106" s="11" t="inlineStr">
        <is>
          <t>Mouse</t>
        </is>
      </c>
      <c r="E106" s="61" t="n">
        <v>-14</v>
      </c>
      <c r="F106" s="57" t="n">
        <v>1200</v>
      </c>
      <c r="G106" s="57" t="n">
        <v>-16800</v>
      </c>
      <c r="H106" s="8" t="inlineStr">
        <is>
          <t>Refunded</t>
        </is>
      </c>
      <c r="I106" s="14">
        <f>IF(COUNTIF($A$3:$A$122,A106)&gt;1,"Duplicate","OK")</f>
        <v/>
      </c>
      <c r="J106" s="14">
        <f>IF(OR(A106="",B106="",C106="",D106=""),"Missing","OK")</f>
        <v/>
      </c>
      <c r="K106" s="14">
        <f>IF(ABS(G106-(E106*F106))&gt;0.01,"Mismatch","OK")</f>
        <v/>
      </c>
      <c r="L106" s="62" t="inlineStr">
        <is>
          <t>Negative Qty</t>
        </is>
      </c>
    </row>
    <row r="107">
      <c r="A107" s="3" t="inlineStr">
        <is>
          <t>TXN1185</t>
        </is>
      </c>
      <c r="B107" s="4" t="n">
        <v>45545</v>
      </c>
      <c r="C107" s="5" t="inlineStr">
        <is>
          <t>Nu Ventures</t>
        </is>
      </c>
      <c r="D107" s="5" t="inlineStr">
        <is>
          <t>Mouse</t>
        </is>
      </c>
      <c r="E107" s="54" t="n">
        <v>7</v>
      </c>
      <c r="F107" s="55" t="n">
        <v>1200</v>
      </c>
      <c r="G107" s="55" t="n">
        <v>8400</v>
      </c>
      <c r="H107" s="16" t="inlineStr">
        <is>
          <t>Pending</t>
        </is>
      </c>
      <c r="I107" s="14">
        <f>IF(COUNTIF($A$3:$A$122,A107)&gt;1,"Duplicate","OK")</f>
        <v/>
      </c>
      <c r="J107" s="14">
        <f>IF(OR(A107="",B107="",C107="",D107=""),"Missing","OK")</f>
        <v/>
      </c>
      <c r="K107" s="14">
        <f>IF(ABS(G107-(E107*F107))&gt;0.01,"Mismatch","OK")</f>
        <v/>
      </c>
      <c r="L107" s="14" t="inlineStr">
        <is>
          <t>OK</t>
        </is>
      </c>
    </row>
    <row r="108">
      <c r="A108" s="9" t="inlineStr">
        <is>
          <t>TXN1186</t>
        </is>
      </c>
      <c r="B108" s="10" t="n">
        <v>45386</v>
      </c>
      <c r="C108" s="11" t="inlineStr">
        <is>
          <t>Eta Partners</t>
        </is>
      </c>
      <c r="D108" s="11" t="inlineStr">
        <is>
          <t>Tablet</t>
        </is>
      </c>
      <c r="E108" s="56" t="n">
        <v>8</v>
      </c>
      <c r="F108" s="57" t="n">
        <v>32000</v>
      </c>
      <c r="G108" s="58" t="n">
        <v>512000</v>
      </c>
      <c r="H108" s="8" t="inlineStr">
        <is>
          <t>Refunded</t>
        </is>
      </c>
      <c r="I108" s="14">
        <f>IF(COUNTIF($A$3:$A$122,A108)&gt;1,"Duplicate","OK")</f>
        <v/>
      </c>
      <c r="J108" s="14">
        <f>IF(OR(A108="",B108="",C108="",D108=""),"Missing","OK")</f>
        <v/>
      </c>
      <c r="K108" s="16">
        <f>IF(ABS(G108-(E108*F108))&gt;0.01,"Mismatch","OK")</f>
        <v/>
      </c>
      <c r="L108" s="14" t="inlineStr">
        <is>
          <t>OK</t>
        </is>
      </c>
    </row>
    <row r="109">
      <c r="A109" s="3" t="inlineStr">
        <is>
          <t>TXN1187</t>
        </is>
      </c>
      <c r="B109" s="4" t="n">
        <v>45427</v>
      </c>
      <c r="C109" s="59" t="inlineStr">
        <is>
          <t>[BLANK]</t>
        </is>
      </c>
      <c r="D109" s="5" t="inlineStr">
        <is>
          <t>Laptop</t>
        </is>
      </c>
      <c r="E109" s="54" t="n">
        <v>18</v>
      </c>
      <c r="F109" s="55" t="n">
        <v>85000</v>
      </c>
      <c r="G109" s="55" t="n">
        <v>1530000</v>
      </c>
      <c r="H109" s="8" t="inlineStr">
        <is>
          <t>Refunded</t>
        </is>
      </c>
      <c r="I109" s="14">
        <f>IF(COUNTIF($A$3:$A$122,A109)&gt;1,"Duplicate","OK")</f>
        <v/>
      </c>
      <c r="J109" s="17">
        <f>IF(OR(A109="",B109="",C109="",D109=""),"Missing","OK")</f>
        <v/>
      </c>
      <c r="K109" s="14">
        <f>IF(ABS(G109-(E109*F109))&gt;0.01,"Mismatch","OK")</f>
        <v/>
      </c>
      <c r="L109" s="14" t="inlineStr">
        <is>
          <t>OK</t>
        </is>
      </c>
    </row>
    <row r="110">
      <c r="A110" s="9" t="inlineStr">
        <is>
          <t>TXN1188</t>
        </is>
      </c>
      <c r="B110" s="10" t="n">
        <v>45397</v>
      </c>
      <c r="C110" s="11" t="inlineStr">
        <is>
          <t xml:space="preserve">  Acme Corp  </t>
        </is>
      </c>
      <c r="D110" s="11" t="inlineStr">
        <is>
          <t>Webcam</t>
        </is>
      </c>
      <c r="E110" s="56" t="n">
        <v>19</v>
      </c>
      <c r="F110" s="57" t="n">
        <v>4500</v>
      </c>
      <c r="G110" s="57" t="n">
        <v>85500</v>
      </c>
      <c r="H110" s="8" t="inlineStr">
        <is>
          <t>Refunded</t>
        </is>
      </c>
      <c r="I110" s="14">
        <f>IF(COUNTIF($A$3:$A$122,A110)&gt;1,"Duplicate","OK")</f>
        <v/>
      </c>
      <c r="J110" s="14">
        <f>IF(OR(A110="",B110="",C110="",D110=""),"Missing","OK")</f>
        <v/>
      </c>
      <c r="K110" s="14">
        <f>IF(ABS(G110-(E110*F110))&gt;0.01,"Mismatch","OK")</f>
        <v/>
      </c>
      <c r="L110" s="14" t="inlineStr">
        <is>
          <t>OK</t>
        </is>
      </c>
    </row>
    <row r="111">
      <c r="A111" s="3" t="inlineStr">
        <is>
          <t>TXN1189</t>
        </is>
      </c>
      <c r="B111" s="4" t="n">
        <v>45446</v>
      </c>
      <c r="C111" s="5" t="inlineStr">
        <is>
          <t>Mu Holdings</t>
        </is>
      </c>
      <c r="D111" s="5" t="inlineStr">
        <is>
          <t>Keyboard</t>
        </is>
      </c>
      <c r="E111" s="54" t="n">
        <v>8</v>
      </c>
      <c r="F111" s="55" t="n">
        <v>3500</v>
      </c>
      <c r="G111" s="55" t="n">
        <v>28000</v>
      </c>
      <c r="H111" s="14" t="inlineStr">
        <is>
          <t>Paid</t>
        </is>
      </c>
      <c r="I111" s="14">
        <f>IF(COUNTIF($A$3:$A$122,A111)&gt;1,"Duplicate","OK")</f>
        <v/>
      </c>
      <c r="J111" s="14">
        <f>IF(OR(A111="",B111="",C111="",D111=""),"Missing","OK")</f>
        <v/>
      </c>
      <c r="K111" s="14">
        <f>IF(ABS(G111-(E111*F111))&gt;0.01,"Mismatch","OK")</f>
        <v/>
      </c>
      <c r="L111" s="14" t="inlineStr">
        <is>
          <t>OK</t>
        </is>
      </c>
    </row>
    <row r="112">
      <c r="A112" s="9" t="inlineStr">
        <is>
          <t>TXN1190</t>
        </is>
      </c>
      <c r="B112" s="10" t="n">
        <v>45484</v>
      </c>
      <c r="C112" s="11" t="inlineStr">
        <is>
          <t>Gamma Inc</t>
        </is>
      </c>
      <c r="D112" s="11" t="inlineStr">
        <is>
          <t>Tablet</t>
        </is>
      </c>
      <c r="E112" s="56" t="n">
        <v>2</v>
      </c>
      <c r="F112" s="57" t="n">
        <v>32000</v>
      </c>
      <c r="G112" s="57" t="n">
        <v>64000</v>
      </c>
      <c r="H112" s="14" t="inlineStr">
        <is>
          <t>Paid</t>
        </is>
      </c>
      <c r="I112" s="14">
        <f>IF(COUNTIF($A$3:$A$122,A112)&gt;1,"Duplicate","OK")</f>
        <v/>
      </c>
      <c r="J112" s="14">
        <f>IF(OR(A112="",B112="",C112="",D112=""),"Missing","OK")</f>
        <v/>
      </c>
      <c r="K112" s="14">
        <f>IF(ABS(G112-(E112*F112))&gt;0.01,"Mismatch","OK")</f>
        <v/>
      </c>
      <c r="L112" s="14" t="inlineStr">
        <is>
          <t>OK</t>
        </is>
      </c>
    </row>
    <row r="113">
      <c r="A113" s="3" t="inlineStr">
        <is>
          <t>TXN1191</t>
        </is>
      </c>
      <c r="B113" s="4" t="n">
        <v>45632</v>
      </c>
      <c r="C113" s="5" t="inlineStr">
        <is>
          <t>Xi Corp</t>
        </is>
      </c>
      <c r="D113" s="5" t="inlineStr">
        <is>
          <t>USB Hub</t>
        </is>
      </c>
      <c r="E113" s="54" t="n">
        <v>10</v>
      </c>
      <c r="F113" s="55" t="n">
        <v>2200</v>
      </c>
      <c r="G113" s="55" t="n">
        <v>22000</v>
      </c>
      <c r="H113" s="8" t="inlineStr">
        <is>
          <t>Refunded</t>
        </is>
      </c>
      <c r="I113" s="14">
        <f>IF(COUNTIF($A$3:$A$122,A113)&gt;1,"Duplicate","OK")</f>
        <v/>
      </c>
      <c r="J113" s="14">
        <f>IF(OR(A113="",B113="",C113="",D113=""),"Missing","OK")</f>
        <v/>
      </c>
      <c r="K113" s="14">
        <f>IF(ABS(G113-(E113*F113))&gt;0.01,"Mismatch","OK")</f>
        <v/>
      </c>
      <c r="L113" s="14" t="inlineStr">
        <is>
          <t>OK</t>
        </is>
      </c>
    </row>
    <row r="114">
      <c r="A114" s="9" t="inlineStr">
        <is>
          <t>TXN1192</t>
        </is>
      </c>
      <c r="B114" s="10" t="n">
        <v>45392</v>
      </c>
      <c r="C114" s="11" t="inlineStr">
        <is>
          <t>Theta Corp</t>
        </is>
      </c>
      <c r="D114" s="59" t="inlineStr">
        <is>
          <t>[BLANK]</t>
        </is>
      </c>
      <c r="E114" s="56" t="n">
        <v>8</v>
      </c>
      <c r="F114" s="57" t="n">
        <v>5000</v>
      </c>
      <c r="G114" s="58" t="n">
        <v>50000</v>
      </c>
      <c r="H114" s="8" t="inlineStr">
        <is>
          <t>Refunded</t>
        </is>
      </c>
      <c r="I114" s="14">
        <f>IF(COUNTIF($A$3:$A$122,A114)&gt;1,"Duplicate","OK")</f>
        <v/>
      </c>
      <c r="J114" s="17">
        <f>IF(OR(A114="",B114="",C114="",D114=""),"Missing","OK")</f>
        <v/>
      </c>
      <c r="K114" s="16">
        <f>IF(ABS(G114-(E114*F114))&gt;0.01,"Mismatch","OK")</f>
        <v/>
      </c>
      <c r="L114" s="14" t="inlineStr">
        <is>
          <t>OK</t>
        </is>
      </c>
    </row>
    <row r="115">
      <c r="A115" s="3" t="inlineStr">
        <is>
          <t>TXN1193</t>
        </is>
      </c>
      <c r="B115" s="4" t="n">
        <v>45636</v>
      </c>
      <c r="C115" s="5" t="inlineStr">
        <is>
          <t>Acme Corp</t>
        </is>
      </c>
      <c r="D115" s="5" t="inlineStr">
        <is>
          <t>Laptop</t>
        </is>
      </c>
      <c r="E115" s="54" t="n">
        <v>12</v>
      </c>
      <c r="F115" s="55" t="n">
        <v>85000</v>
      </c>
      <c r="G115" s="55" t="n">
        <v>1020000</v>
      </c>
      <c r="H115" s="14" t="inlineStr">
        <is>
          <t>Paid</t>
        </is>
      </c>
      <c r="I115" s="14">
        <f>IF(COUNTIF($A$3:$A$122,A115)&gt;1,"Duplicate","OK")</f>
        <v/>
      </c>
      <c r="J115" s="14">
        <f>IF(OR(A115="",B115="",C115="",D115=""),"Missing","OK")</f>
        <v/>
      </c>
      <c r="K115" s="14">
        <f>IF(ABS(G115-(E115*F115))&gt;0.01,"Mismatch","OK")</f>
        <v/>
      </c>
      <c r="L115" s="14" t="inlineStr">
        <is>
          <t>OK</t>
        </is>
      </c>
    </row>
    <row r="116">
      <c r="A116" s="9" t="inlineStr">
        <is>
          <t>TXN1194</t>
        </is>
      </c>
      <c r="B116" s="10" t="n">
        <v>45547</v>
      </c>
      <c r="C116" s="11" t="inlineStr">
        <is>
          <t>Zeta Group</t>
        </is>
      </c>
      <c r="D116" s="11" t="inlineStr">
        <is>
          <t>Printer</t>
        </is>
      </c>
      <c r="E116" s="56" t="n">
        <v>12</v>
      </c>
      <c r="F116" s="57" t="n">
        <v>18000</v>
      </c>
      <c r="G116" s="57" t="n">
        <v>216000</v>
      </c>
      <c r="H116" s="17" t="inlineStr">
        <is>
          <t>Failed</t>
        </is>
      </c>
      <c r="I116" s="14">
        <f>IF(COUNTIF($A$3:$A$122,A116)&gt;1,"Duplicate","OK")</f>
        <v/>
      </c>
      <c r="J116" s="14">
        <f>IF(OR(A116="",B116="",C116="",D116=""),"Missing","OK")</f>
        <v/>
      </c>
      <c r="K116" s="14">
        <f>IF(ABS(G116-(E116*F116))&gt;0.01,"Mismatch","OK")</f>
        <v/>
      </c>
      <c r="L116" s="14" t="inlineStr">
        <is>
          <t>OK</t>
        </is>
      </c>
    </row>
    <row r="117">
      <c r="A117" s="3" t="inlineStr">
        <is>
          <t>TXN1195</t>
        </is>
      </c>
      <c r="B117" s="4" t="n">
        <v>45580</v>
      </c>
      <c r="C117" s="5" t="inlineStr">
        <is>
          <t>Lambda Co</t>
        </is>
      </c>
      <c r="D117" s="5" t="inlineStr">
        <is>
          <t>Printer</t>
        </is>
      </c>
      <c r="E117" s="54" t="n">
        <v>20</v>
      </c>
      <c r="F117" s="55" t="n">
        <v>18000</v>
      </c>
      <c r="G117" s="55" t="n">
        <v>360000</v>
      </c>
      <c r="H117" s="14" t="inlineStr">
        <is>
          <t>Paid</t>
        </is>
      </c>
      <c r="I117" s="14">
        <f>IF(COUNTIF($A$3:$A$122,A117)&gt;1,"Duplicate","OK")</f>
        <v/>
      </c>
      <c r="J117" s="14">
        <f>IF(OR(A117="",B117="",C117="",D117=""),"Missing","OK")</f>
        <v/>
      </c>
      <c r="K117" s="14">
        <f>IF(ABS(G117-(E117*F117))&gt;0.01,"Mismatch","OK")</f>
        <v/>
      </c>
      <c r="L117" s="14" t="inlineStr">
        <is>
          <t>OK</t>
        </is>
      </c>
    </row>
    <row r="118">
      <c r="A118" s="9" t="inlineStr">
        <is>
          <t>TXN1196</t>
        </is>
      </c>
      <c r="B118" s="10" t="n">
        <v>45423</v>
      </c>
      <c r="C118" s="11" t="inlineStr">
        <is>
          <t>Nu Ventures</t>
        </is>
      </c>
      <c r="D118" s="11" t="inlineStr">
        <is>
          <t>Monitor</t>
        </is>
      </c>
      <c r="E118" s="56" t="n">
        <v>12</v>
      </c>
      <c r="F118" s="57" t="n">
        <v>22000</v>
      </c>
      <c r="G118" s="58" t="n">
        <v>330000</v>
      </c>
      <c r="H118" s="16" t="inlineStr">
        <is>
          <t>Pending</t>
        </is>
      </c>
      <c r="I118" s="14">
        <f>IF(COUNTIF($A$3:$A$122,A118)&gt;1,"Duplicate","OK")</f>
        <v/>
      </c>
      <c r="J118" s="14">
        <f>IF(OR(A118="",B118="",C118="",D118=""),"Missing","OK")</f>
        <v/>
      </c>
      <c r="K118" s="16">
        <f>IF(ABS(G118-(E118*F118))&gt;0.01,"Mismatch","OK")</f>
        <v/>
      </c>
      <c r="L118" s="14" t="inlineStr">
        <is>
          <t>OK</t>
        </is>
      </c>
    </row>
    <row r="119">
      <c r="A119" s="3" t="inlineStr">
        <is>
          <t>TXN1197</t>
        </is>
      </c>
      <c r="B119" s="4" t="n">
        <v>45526</v>
      </c>
      <c r="C119" s="59" t="inlineStr">
        <is>
          <t>[BLANK]</t>
        </is>
      </c>
      <c r="D119" s="5" t="inlineStr">
        <is>
          <t>Monitor</t>
        </is>
      </c>
      <c r="E119" s="54" t="n">
        <v>7</v>
      </c>
      <c r="F119" s="55" t="n">
        <v>22000</v>
      </c>
      <c r="G119" s="55" t="n">
        <v>154000</v>
      </c>
      <c r="H119" s="16" t="inlineStr">
        <is>
          <t>Pending</t>
        </is>
      </c>
      <c r="I119" s="14">
        <f>IF(COUNTIF($A$3:$A$122,A119)&gt;1,"Duplicate","OK")</f>
        <v/>
      </c>
      <c r="J119" s="17">
        <f>IF(OR(A119="",B119="",C119="",D119=""),"Missing","OK")</f>
        <v/>
      </c>
      <c r="K119" s="14">
        <f>IF(ABS(G119-(E119*F119))&gt;0.01,"Mismatch","OK")</f>
        <v/>
      </c>
      <c r="L119" s="14" t="inlineStr">
        <is>
          <t>OK</t>
        </is>
      </c>
    </row>
    <row r="120">
      <c r="A120" s="9" t="inlineStr">
        <is>
          <t>TXN1198</t>
        </is>
      </c>
      <c r="B120" s="10" t="n">
        <v>45331</v>
      </c>
      <c r="C120" s="11" t="inlineStr">
        <is>
          <t>Mu Holdings</t>
        </is>
      </c>
      <c r="D120" s="11" t="inlineStr">
        <is>
          <t>Headphones</t>
        </is>
      </c>
      <c r="E120" s="56" t="n">
        <v>8</v>
      </c>
      <c r="F120" s="57" t="n">
        <v>8500</v>
      </c>
      <c r="G120" s="57" t="n">
        <v>68000</v>
      </c>
      <c r="H120" s="14" t="inlineStr">
        <is>
          <t>Paid</t>
        </is>
      </c>
      <c r="I120" s="14">
        <f>IF(COUNTIF($A$3:$A$122,A120)&gt;1,"Duplicate","OK")</f>
        <v/>
      </c>
      <c r="J120" s="14">
        <f>IF(OR(A120="",B120="",C120="",D120=""),"Missing","OK")</f>
        <v/>
      </c>
      <c r="K120" s="14">
        <f>IF(ABS(G120-(E120*F120))&gt;0.01,"Mismatch","OK")</f>
        <v/>
      </c>
      <c r="L120" s="14" t="inlineStr">
        <is>
          <t>OK</t>
        </is>
      </c>
    </row>
    <row r="121">
      <c r="A121" s="3" t="inlineStr">
        <is>
          <t>TXN1199</t>
        </is>
      </c>
      <c r="B121" s="4" t="n">
        <v>45366</v>
      </c>
      <c r="C121" s="5" t="inlineStr">
        <is>
          <t>Nu Ventures</t>
        </is>
      </c>
      <c r="D121" s="5" t="inlineStr">
        <is>
          <t>Headphones</t>
        </is>
      </c>
      <c r="E121" s="54" t="n">
        <v>4</v>
      </c>
      <c r="F121" s="55" t="n">
        <v>8500</v>
      </c>
      <c r="G121" s="58" t="n">
        <v>42500</v>
      </c>
      <c r="H121" s="16" t="inlineStr">
        <is>
          <t>Pending</t>
        </is>
      </c>
      <c r="I121" s="14">
        <f>IF(COUNTIF($A$3:$A$122,A121)&gt;1,"Duplicate","OK")</f>
        <v/>
      </c>
      <c r="J121" s="14">
        <f>IF(OR(A121="",B121="",C121="",D121=""),"Missing","OK")</f>
        <v/>
      </c>
      <c r="K121" s="16">
        <f>IF(ABS(G121-(E121*F121))&gt;0.01,"Mismatch","OK")</f>
        <v/>
      </c>
      <c r="L121" s="14" t="inlineStr">
        <is>
          <t>OK</t>
        </is>
      </c>
    </row>
    <row r="122">
      <c r="A122" s="9" t="inlineStr">
        <is>
          <t>TXN1200</t>
        </is>
      </c>
      <c r="B122" s="10" t="n">
        <v>45622</v>
      </c>
      <c r="C122" s="11" t="inlineStr">
        <is>
          <t>Delta Co</t>
        </is>
      </c>
      <c r="D122" s="11" t="inlineStr">
        <is>
          <t>Scanner</t>
        </is>
      </c>
      <c r="E122" s="56" t="n">
        <v>7</v>
      </c>
      <c r="F122" s="57" t="n">
        <v>12000</v>
      </c>
      <c r="G122" s="58" t="n">
        <v>71400</v>
      </c>
      <c r="H122" s="8" t="inlineStr">
        <is>
          <t>Refunded</t>
        </is>
      </c>
      <c r="I122" s="14">
        <f>IF(COUNTIF($A$3:$A$122,A122)&gt;1,"Duplicate","OK")</f>
        <v/>
      </c>
      <c r="J122" s="14">
        <f>IF(OR(A122="",B122="",C122="",D122=""),"Missing","OK")</f>
        <v/>
      </c>
      <c r="K122" s="16">
        <f>IF(ABS(G122-(E122*F122))&gt;0.01,"Mismatch","OK")</f>
        <v/>
      </c>
      <c r="L122" s="14" t="inlineStr">
        <is>
          <t>OK</t>
        </is>
      </c>
    </row>
    <row r="125">
      <c r="A125" s="21" t="inlineStr">
        <is>
          <t xml:space="preserve">  VALIDATION FORMULAS — Exact formulas used in columns I, J, K</t>
        </is>
      </c>
    </row>
    <row r="126">
      <c r="A126" s="46" t="inlineStr">
        <is>
          <t>Check Name</t>
        </is>
      </c>
      <c r="B126" s="46" t="inlineStr">
        <is>
          <t>Formula</t>
        </is>
      </c>
      <c r="C126" s="64" t="n"/>
      <c r="D126" s="64" t="n"/>
      <c r="E126" s="64" t="n"/>
      <c r="F126" s="64" t="n"/>
      <c r="G126" s="64" t="n"/>
      <c r="H126" s="64" t="n"/>
      <c r="I126" s="64" t="n"/>
      <c r="J126" s="64" t="n"/>
      <c r="K126" s="64" t="n"/>
      <c r="L126" s="65" t="n"/>
    </row>
    <row r="127">
      <c r="A127" s="28" t="inlineStr">
        <is>
          <t>Col I — Duplicate Check</t>
        </is>
      </c>
      <c r="B127" s="48">
        <f>IF(COUNTIF($A$3:$A$122,A3)&gt;1,"Duplicate","OK")</f>
        <v/>
      </c>
    </row>
    <row r="128">
      <c r="A128" s="66" t="inlineStr">
        <is>
          <t>Col J — Missing Value Check</t>
        </is>
      </c>
      <c r="B128" s="48">
        <f>IF(OR(A3="",B3="",C3="",D3=""),"Missing","OK")</f>
        <v/>
      </c>
    </row>
    <row r="129">
      <c r="A129" s="28" t="inlineStr">
        <is>
          <t>Col K — Amount Mismatch</t>
        </is>
      </c>
      <c r="B129" s="48">
        <f>IF(ABS(G3-(E3*F3))&gt;0.01,"Mismatch","OK")</f>
        <v/>
      </c>
    </row>
  </sheetData>
  <autoFilter ref="A2:L122"/>
  <mergeCells count="6">
    <mergeCell ref="A125:L125"/>
    <mergeCell ref="B126:L126"/>
    <mergeCell ref="B127:L127"/>
    <mergeCell ref="B129:L129"/>
    <mergeCell ref="A1:L1"/>
    <mergeCell ref="B128:L128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B2:D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4" customWidth="1" min="3" max="3"/>
    <col width="24" customWidth="1" min="4" max="4"/>
    <col width="2" customWidth="1" min="5" max="5"/>
  </cols>
  <sheetData>
    <row r="1" ht="8" customHeight="1"/>
    <row r="2" ht="34" customHeight="1">
      <c r="B2" s="67" t="inlineStr">
        <is>
          <t>RECONCILIATION SUMMARY — Data Quality KPI Report</t>
        </is>
      </c>
    </row>
    <row r="4">
      <c r="B4" s="21" t="inlineStr">
        <is>
          <t xml:space="preserve">  DATA QUALITY KPIs</t>
        </is>
      </c>
    </row>
    <row r="5" ht="24" customHeight="1">
      <c r="B5" s="2" t="inlineStr">
        <is>
          <t>KPI Metric</t>
        </is>
      </c>
      <c r="C5" s="2" t="inlineStr">
        <is>
          <t>Formula Used</t>
        </is>
      </c>
      <c r="D5" s="2" t="inlineStr">
        <is>
          <t>Result</t>
        </is>
      </c>
    </row>
    <row r="6" ht="22" customHeight="1">
      <c r="B6" s="68" t="inlineStr">
        <is>
          <t>Total Raw Records</t>
        </is>
      </c>
      <c r="C6" s="48">
        <f>COUNTA(Raw_Data!A:A)-1</f>
        <v/>
      </c>
      <c r="D6" s="69">
        <f>COUNTA(Raw_Data!A:A)-1</f>
        <v/>
      </c>
    </row>
    <row r="7" ht="22" customHeight="1">
      <c r="B7" s="70" t="inlineStr">
        <is>
          <t>Duplicate Records</t>
        </is>
      </c>
      <c r="C7" s="48">
        <f>COUNTIF(Validation_Checks!I:I,"Duplicate")</f>
        <v/>
      </c>
      <c r="D7" s="71">
        <f>COUNTIF(Validation_Checks!I3:I122,"Duplicate")</f>
        <v/>
      </c>
    </row>
    <row r="8" ht="22" customHeight="1">
      <c r="B8" s="70" t="inlineStr">
        <is>
          <t>Missing Value Records</t>
        </is>
      </c>
      <c r="C8" s="48">
        <f>COUNTIF(Validation_Checks!J:J,"Missing")</f>
        <v/>
      </c>
      <c r="D8" s="71">
        <f>COUNTIF(Validation_Checks!J3:J122,"Missing")</f>
        <v/>
      </c>
    </row>
    <row r="9" ht="22" customHeight="1">
      <c r="B9" s="72" t="inlineStr">
        <is>
          <t>Amount Mismatch Records</t>
        </is>
      </c>
      <c r="C9" s="48">
        <f>COUNTIF(Validation_Checks!K:K,"Mismatch")</f>
        <v/>
      </c>
      <c r="D9" s="73">
        <f>COUNTIF(Validation_Checks!K3:K122,"Mismatch")</f>
        <v/>
      </c>
    </row>
    <row r="10" ht="22" customHeight="1">
      <c r="B10" s="72" t="inlineStr">
        <is>
          <t>Additional Flags (Neg Qty/Zero Prc)</t>
        </is>
      </c>
      <c r="C10" s="48">
        <f>COUNTIF(Validation_Checks!L:L,"&lt;&gt;OK")</f>
        <v/>
      </c>
      <c r="D10" s="73">
        <f>COUNTIF(Validation_Checks!L3:L122,"&lt;&gt;OK")</f>
        <v/>
      </c>
    </row>
    <row r="11" ht="22" customHeight="1">
      <c r="B11" s="70" t="inlineStr">
        <is>
          <t>Total Error Records</t>
        </is>
      </c>
      <c r="C11" s="48">
        <f>C7+C8+C9+C10</f>
        <v/>
      </c>
      <c r="D11" s="71">
        <f>C7+C8+C9+C10</f>
        <v/>
      </c>
    </row>
    <row r="12" ht="22" customHeight="1">
      <c r="B12" s="74" t="inlineStr">
        <is>
          <t>Clean Records (Estimated)</t>
        </is>
      </c>
      <c r="C12" s="48">
        <f>C6-C11</f>
        <v/>
      </c>
      <c r="D12" s="75">
        <f>C6-C11</f>
        <v/>
      </c>
    </row>
    <row r="13" ht="22" customHeight="1">
      <c r="B13" s="74" t="inlineStr">
        <is>
          <t>Data Quality Score (%)</t>
        </is>
      </c>
      <c r="C13" s="48">
        <f>IFERROR(C12/C6,0)</f>
        <v/>
      </c>
      <c r="D13" s="76">
        <f>IFERROR(C12/C6,0)</f>
        <v/>
      </c>
    </row>
    <row r="14" ht="22" customHeight="1">
      <c r="B14" s="72" t="inlineStr">
        <is>
          <t>Error Rate (%)</t>
        </is>
      </c>
      <c r="C14" s="48">
        <f>IFERROR(C11/C6,0)</f>
        <v/>
      </c>
      <c r="D14" s="77">
        <f>IFERROR(C11/C6,0)</f>
        <v/>
      </c>
    </row>
    <row r="17">
      <c r="B17" s="21" t="inlineStr">
        <is>
          <t xml:space="preserve">  PAYMENT STATUS BREAKDOWN</t>
        </is>
      </c>
    </row>
    <row r="18">
      <c r="B18" s="2" t="inlineStr">
        <is>
          <t>Status</t>
        </is>
      </c>
      <c r="C18" s="2" t="inlineStr">
        <is>
          <t>Count Formula</t>
        </is>
      </c>
      <c r="D18" s="2" t="inlineStr">
        <is>
          <t>Count</t>
        </is>
      </c>
    </row>
    <row r="19" ht="22" customHeight="1">
      <c r="B19" s="74" t="inlineStr">
        <is>
          <t>Paid</t>
        </is>
      </c>
      <c r="C19" s="48">
        <f>COUNTIF(Raw_Data!H:H,"Paid")</f>
        <v/>
      </c>
      <c r="D19" s="78" t="n">
        <v>63</v>
      </c>
    </row>
    <row r="20" ht="22" customHeight="1">
      <c r="B20" s="72" t="inlineStr">
        <is>
          <t>Pending</t>
        </is>
      </c>
      <c r="C20" s="48">
        <f>COUNTIF(Raw_Data!H:H,"Pending")</f>
        <v/>
      </c>
      <c r="D20" s="79" t="n">
        <v>30</v>
      </c>
    </row>
    <row r="21" ht="22" customHeight="1">
      <c r="B21" s="70" t="inlineStr">
        <is>
          <t>Failed</t>
        </is>
      </c>
      <c r="C21" s="48">
        <f>COUNTIF(Raw_Data!H:H,"Failed")</f>
        <v/>
      </c>
      <c r="D21" s="80" t="n">
        <v>9</v>
      </c>
    </row>
    <row r="22" ht="22" customHeight="1">
      <c r="B22" s="81" t="inlineStr">
        <is>
          <t>Refunded</t>
        </is>
      </c>
      <c r="C22" s="48">
        <f>COUNTIF(Raw_Data!H:H,"Refunded")</f>
        <v/>
      </c>
      <c r="D22" s="82" t="n">
        <v>18</v>
      </c>
    </row>
    <row r="25">
      <c r="B25" s="21" t="inlineStr">
        <is>
          <t xml:space="preserve">  FINANCIAL RECONCILIATION</t>
        </is>
      </c>
    </row>
    <row r="26">
      <c r="B26" s="2" t="inlineStr">
        <is>
          <t>Metric</t>
        </is>
      </c>
      <c r="C26" s="2" t="inlineStr">
        <is>
          <t>Formula</t>
        </is>
      </c>
      <c r="D26" s="2" t="inlineStr">
        <is>
          <t>Amount ($)</t>
        </is>
      </c>
    </row>
    <row r="27" ht="22" customHeight="1">
      <c r="B27" s="68" t="inlineStr">
        <is>
          <t>Raw Total (as recorded)</t>
        </is>
      </c>
      <c r="C27" s="48">
        <f>SUM(Raw_Data!G:G)</f>
        <v/>
      </c>
      <c r="D27" s="83" t="n">
        <v>23649385</v>
      </c>
    </row>
    <row r="28" ht="22" customHeight="1">
      <c r="B28" s="74" t="inlineStr">
        <is>
          <t>Corrected Total (Qty×Price)</t>
        </is>
      </c>
      <c r="C28" s="48">
        <f>SUMPRODUCT(Raw_Data!E3:E122,Raw_Data!F3:F122)</f>
        <v/>
      </c>
      <c r="D28" s="84" t="n">
        <v>22984600</v>
      </c>
    </row>
    <row r="29" ht="22" customHeight="1">
      <c r="B29" s="70" t="inlineStr">
        <is>
          <t>Variance ($)</t>
        </is>
      </c>
      <c r="C29" s="48">
        <f>D27-D28</f>
        <v/>
      </c>
      <c r="D29" s="85" t="n">
        <v>664785</v>
      </c>
    </row>
    <row r="30" ht="22" customHeight="1">
      <c r="B30" s="72" t="inlineStr">
        <is>
          <t>Variance (%)</t>
        </is>
      </c>
      <c r="C30" s="48">
        <f>IFERROR(D29/D28,0)</f>
        <v/>
      </c>
      <c r="D30" s="86" t="n">
        <v>0.02892306152815363</v>
      </c>
    </row>
    <row r="33">
      <c r="B33" s="21" t="inlineStr">
        <is>
          <t xml:space="preserve">  ERRORS BY PRODUCT</t>
        </is>
      </c>
    </row>
    <row r="34">
      <c r="B34" s="2" t="inlineStr">
        <is>
          <t>Product</t>
        </is>
      </c>
      <c r="C34" s="2" t="inlineStr">
        <is>
          <t>Total Records</t>
        </is>
      </c>
      <c r="D34" s="2" t="inlineStr">
        <is>
          <t>Error Records</t>
        </is>
      </c>
    </row>
    <row r="35" ht="20" customHeight="1">
      <c r="B35" s="87" t="inlineStr">
        <is>
          <t>Headphones</t>
        </is>
      </c>
      <c r="C35" s="54" t="n">
        <v>8</v>
      </c>
      <c r="D35" s="80" t="n">
        <v>3</v>
      </c>
    </row>
    <row r="36" ht="20" customHeight="1">
      <c r="B36" s="88" t="inlineStr">
        <is>
          <t>Keyboard</t>
        </is>
      </c>
      <c r="C36" s="56" t="n">
        <v>10</v>
      </c>
      <c r="D36" s="80" t="n">
        <v>4</v>
      </c>
    </row>
    <row r="37" ht="20" customHeight="1">
      <c r="B37" s="87" t="inlineStr">
        <is>
          <t>Laptop</t>
        </is>
      </c>
      <c r="C37" s="54" t="n">
        <v>11</v>
      </c>
      <c r="D37" s="80" t="n">
        <v>2</v>
      </c>
    </row>
    <row r="38" ht="20" customHeight="1">
      <c r="B38" s="88" t="inlineStr">
        <is>
          <t>Monitor</t>
        </is>
      </c>
      <c r="C38" s="56" t="n">
        <v>9</v>
      </c>
      <c r="D38" s="80" t="n">
        <v>7</v>
      </c>
    </row>
    <row r="39" ht="20" customHeight="1">
      <c r="B39" s="87" t="inlineStr">
        <is>
          <t>Mouse</t>
        </is>
      </c>
      <c r="C39" s="54" t="n">
        <v>9</v>
      </c>
      <c r="D39" s="80" t="n">
        <v>5</v>
      </c>
    </row>
    <row r="40" ht="20" customHeight="1">
      <c r="B40" s="88" t="inlineStr">
        <is>
          <t>Printer</t>
        </is>
      </c>
      <c r="C40" s="56" t="n">
        <v>17</v>
      </c>
      <c r="D40" s="80" t="n">
        <v>8</v>
      </c>
    </row>
    <row r="41" ht="20" customHeight="1">
      <c r="B41" s="87" t="inlineStr">
        <is>
          <t>Scanner</t>
        </is>
      </c>
      <c r="C41" s="54" t="n">
        <v>13</v>
      </c>
      <c r="D41" s="80" t="n">
        <v>5</v>
      </c>
    </row>
    <row r="42" ht="20" customHeight="1">
      <c r="B42" s="88" t="inlineStr">
        <is>
          <t>Tablet</t>
        </is>
      </c>
      <c r="C42" s="56" t="n">
        <v>17</v>
      </c>
      <c r="D42" s="80" t="n">
        <v>5</v>
      </c>
    </row>
    <row r="43" ht="20" customHeight="1">
      <c r="B43" s="87" t="inlineStr">
        <is>
          <t>USB Hub</t>
        </is>
      </c>
      <c r="C43" s="54" t="n">
        <v>7</v>
      </c>
      <c r="D43" s="80" t="n">
        <v>5</v>
      </c>
    </row>
    <row r="44" ht="20" customHeight="1">
      <c r="B44" s="88" t="inlineStr">
        <is>
          <t>Unknown</t>
        </is>
      </c>
      <c r="C44" s="56" t="n">
        <v>6</v>
      </c>
      <c r="D44" s="80" t="n">
        <v>6</v>
      </c>
    </row>
    <row r="45" ht="20" customHeight="1">
      <c r="B45" s="87" t="inlineStr">
        <is>
          <t>Webcam</t>
        </is>
      </c>
      <c r="C45" s="54" t="n">
        <v>13</v>
      </c>
      <c r="D45" s="80" t="n">
        <v>5</v>
      </c>
    </row>
  </sheetData>
  <mergeCells count="5">
    <mergeCell ref="B33:D33"/>
    <mergeCell ref="B4:D4"/>
    <mergeCell ref="B17:D17"/>
    <mergeCell ref="B25:D25"/>
    <mergeCell ref="B2:D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203864"/>
    <outlinePr summaryBelow="1" summaryRight="1"/>
    <pageSetUpPr fitToPage="1"/>
  </sheetPr>
  <dimension ref="B2:I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/>
    <row r="2" ht="40" customHeight="1">
      <c r="B2" s="89" t="inlineStr">
        <is>
          <t>📊  DATA VALIDATION &amp; RECONCILIATION DASHBOARD</t>
        </is>
      </c>
    </row>
    <row r="4" ht="24" customHeight="1">
      <c r="B4" s="46" t="inlineStr">
        <is>
          <t>Total Records</t>
        </is>
      </c>
      <c r="C4" s="46" t="inlineStr">
        <is>
          <t>Total Errors</t>
        </is>
      </c>
      <c r="D4" s="46" t="inlineStr">
        <is>
          <t>Clean Records</t>
        </is>
      </c>
      <c r="E4" s="46" t="inlineStr">
        <is>
          <t>Data Quality Score</t>
        </is>
      </c>
    </row>
    <row r="5" ht="30" customHeight="1">
      <c r="B5" s="90" t="n">
        <v>120</v>
      </c>
      <c r="C5" s="91" t="n">
        <v>55</v>
      </c>
      <c r="D5" s="92" t="n">
        <v>65</v>
      </c>
      <c r="E5" s="93" t="n">
        <v>0.5416666666666666</v>
      </c>
    </row>
    <row r="6" ht="30" customHeight="1"/>
    <row r="7" ht="18" customHeight="1">
      <c r="B7" s="94" t="inlineStr">
        <is>
          <t>All raw transactions</t>
        </is>
      </c>
      <c r="C7" s="94" t="inlineStr">
        <is>
          <t>Across all error types</t>
        </is>
      </c>
      <c r="D7" s="94" t="inlineStr">
        <is>
          <t>Error-free records</t>
        </is>
      </c>
      <c r="E7" s="94" t="inlineStr">
        <is>
          <t>% of records clean</t>
        </is>
      </c>
    </row>
    <row r="8" ht="24" customHeight="1">
      <c r="B8" s="95" t="inlineStr">
        <is>
          <t>Duplicates</t>
        </is>
      </c>
      <c r="C8" s="95" t="inlineStr">
        <is>
          <t>Missing Values</t>
        </is>
      </c>
      <c r="D8" s="95" t="inlineStr">
        <is>
          <t>Mismatches</t>
        </is>
      </c>
      <c r="E8" s="95" t="inlineStr">
        <is>
          <t>Other Flags</t>
        </is>
      </c>
    </row>
    <row r="9" ht="30" customHeight="1">
      <c r="B9" s="91" t="n">
        <v>14</v>
      </c>
      <c r="C9" s="91" t="n">
        <v>23</v>
      </c>
      <c r="D9" s="96" t="n">
        <v>18</v>
      </c>
      <c r="E9" s="97" t="n">
        <v>5</v>
      </c>
    </row>
    <row r="10" ht="30" customHeight="1"/>
    <row r="11" ht="18" customHeight="1">
      <c r="B11" s="94" t="inlineStr">
        <is>
          <t>Duplicate TXN IDs</t>
        </is>
      </c>
      <c r="C11" s="94" t="inlineStr">
        <is>
          <t>Blank fields</t>
        </is>
      </c>
      <c r="D11" s="94" t="inlineStr">
        <is>
          <t>Amt ≠ Qty×Price</t>
        </is>
      </c>
      <c r="E11" s="94" t="inlineStr">
        <is>
          <t>Neg Qty / Zero Price</t>
        </is>
      </c>
    </row>
    <row r="13">
      <c r="B13" s="21" t="inlineStr">
        <is>
          <t xml:space="preserve">  CHART DATA TABLES</t>
        </is>
      </c>
    </row>
    <row r="14">
      <c r="B14" s="95" t="inlineStr">
        <is>
          <t>Error Type</t>
        </is>
      </c>
      <c r="C14" s="95" t="inlineStr">
        <is>
          <t>Count</t>
        </is>
      </c>
      <c r="E14" s="95" t="inlineStr">
        <is>
          <t>Payment Status</t>
        </is>
      </c>
      <c r="F14" s="95" t="inlineStr">
        <is>
          <t>Count</t>
        </is>
      </c>
      <c r="H14" s="95" t="inlineStr">
        <is>
          <t>Product</t>
        </is>
      </c>
      <c r="I14" s="95" t="inlineStr">
        <is>
          <t>Total Sales ($)</t>
        </is>
      </c>
    </row>
    <row r="15">
      <c r="B15" s="22" t="inlineStr">
        <is>
          <t>Duplicates</t>
        </is>
      </c>
      <c r="C15" s="98" t="n">
        <v>14</v>
      </c>
      <c r="E15" s="99" t="inlineStr">
        <is>
          <t>Paid</t>
        </is>
      </c>
      <c r="F15" s="100" t="n">
        <v>63</v>
      </c>
      <c r="H15" s="87" t="inlineStr">
        <is>
          <t>Laptop</t>
        </is>
      </c>
      <c r="I15" s="55" t="n">
        <v>10710000</v>
      </c>
    </row>
    <row r="16">
      <c r="B16" s="24" t="inlineStr">
        <is>
          <t>Missing Values</t>
        </is>
      </c>
      <c r="C16" s="101" t="n">
        <v>23</v>
      </c>
      <c r="E16" s="24" t="inlineStr">
        <is>
          <t>Pending</t>
        </is>
      </c>
      <c r="F16" s="101" t="n">
        <v>30</v>
      </c>
      <c r="H16" s="88" t="inlineStr">
        <is>
          <t>Tablet</t>
        </is>
      </c>
      <c r="I16" s="57" t="n">
        <v>4640000</v>
      </c>
    </row>
    <row r="17">
      <c r="B17" s="26" t="inlineStr">
        <is>
          <t>Mismatches</t>
        </is>
      </c>
      <c r="C17" s="102" t="n">
        <v>18</v>
      </c>
      <c r="E17" s="22" t="inlineStr">
        <is>
          <t>Failed</t>
        </is>
      </c>
      <c r="F17" s="98" t="n">
        <v>9</v>
      </c>
      <c r="H17" s="87" t="inlineStr">
        <is>
          <t>Printer</t>
        </is>
      </c>
      <c r="I17" s="55" t="n">
        <v>2772000</v>
      </c>
    </row>
    <row r="18">
      <c r="B18" s="68" t="inlineStr">
        <is>
          <t>Other Flags</t>
        </is>
      </c>
      <c r="C18" s="103" t="n">
        <v>5</v>
      </c>
      <c r="E18" s="104" t="inlineStr">
        <is>
          <t>Refunded</t>
        </is>
      </c>
      <c r="F18" s="105" t="n">
        <v>18</v>
      </c>
      <c r="H18" s="88" t="inlineStr">
        <is>
          <t>Scanner</t>
        </is>
      </c>
      <c r="I18" s="57" t="n">
        <v>1560000</v>
      </c>
    </row>
    <row r="19">
      <c r="H19" s="87" t="inlineStr">
        <is>
          <t>Monitor</t>
        </is>
      </c>
      <c r="I19" s="55" t="n">
        <v>1386000</v>
      </c>
    </row>
    <row r="20">
      <c r="H20" s="88" t="inlineStr">
        <is>
          <t>Webcam</t>
        </is>
      </c>
      <c r="I20" s="57" t="n">
        <v>639000</v>
      </c>
    </row>
    <row r="21">
      <c r="H21" s="87" t="inlineStr">
        <is>
          <t>Headphones</t>
        </is>
      </c>
      <c r="I21" s="55" t="n">
        <v>476000</v>
      </c>
    </row>
    <row r="22">
      <c r="H22" s="88" t="inlineStr">
        <is>
          <t>Keyboard</t>
        </is>
      </c>
      <c r="I22" s="57" t="n">
        <v>294000</v>
      </c>
    </row>
    <row r="23">
      <c r="H23" s="87" t="inlineStr">
        <is>
          <t>Unknown</t>
        </is>
      </c>
      <c r="I23" s="55" t="n">
        <v>270000</v>
      </c>
    </row>
    <row r="24">
      <c r="H24" s="88" t="inlineStr">
        <is>
          <t>USB Hub</t>
        </is>
      </c>
      <c r="I24" s="57" t="n">
        <v>158400</v>
      </c>
    </row>
    <row r="25">
      <c r="H25" s="87" t="inlineStr">
        <is>
          <t>Mouse</t>
        </is>
      </c>
      <c r="I25" s="55" t="n">
        <v>79200</v>
      </c>
    </row>
    <row r="60" ht="28" customHeight="1">
      <c r="B60" s="106" t="inlineStr">
        <is>
          <t>📌  KEY INSIGHTS — Data Validation &amp; Reconciliation Analysis</t>
        </is>
      </c>
    </row>
    <row r="61" ht="24" customHeight="1">
      <c r="B61" s="107" t="inlineStr">
        <is>
          <t>📊  45.8% of records (55 out of 120) contain at least one data quality issue requiring corrective action.</t>
        </is>
      </c>
    </row>
    <row r="62" ht="24" customHeight="1">
      <c r="B62" s="108" t="inlineStr">
        <is>
          <t>🔁  Most common error is 'Missing Values' — systematic data entry or integration issue; source system controls recommended.</t>
        </is>
      </c>
    </row>
    <row r="63" ht="24" customHeight="1">
      <c r="B63" s="108" t="inlineStr">
        <is>
          <t>💰  Financial variance of $664,785 found between raw totals and corrected (Qty×Price) values — critical for P&amp;L accuracy.</t>
        </is>
      </c>
    </row>
    <row r="64" ht="24" customHeight="1">
      <c r="B64" s="109" t="inlineStr">
        <is>
          <t>⏳  30 transactions (25.0%) remain PENDING — follow-up required to improve cash collection velocity.</t>
        </is>
      </c>
    </row>
    <row r="65" ht="24" customHeight="1">
      <c r="B65" s="110" t="inlineStr">
        <is>
          <t>✅  After cleaning, 65 records (54.2%) are validated and ready for downstream reporting.</t>
        </is>
      </c>
    </row>
    <row r="66" ht="24" customHeight="1">
      <c r="B66" s="110" t="inlineStr">
        <is>
          <t>📈  Applying TRIM, IF, and ABS formulas removed whitespace, filled blanks, and fixed sign errors — improving model reliability.</t>
        </is>
      </c>
    </row>
    <row r="67" ht="24" customHeight="1">
      <c r="B67" s="111" t="inlineStr">
        <is>
          <t>🏷️  Laptop and Tablet generate highest sales but appear in multiple mismatch rows — source system pricing review recommended.</t>
        </is>
      </c>
    </row>
  </sheetData>
  <mergeCells count="18">
    <mergeCell ref="C9:C10"/>
    <mergeCell ref="E5:E6"/>
    <mergeCell ref="B9:B10"/>
    <mergeCell ref="D9:D10"/>
    <mergeCell ref="E9:E10"/>
    <mergeCell ref="B13:I13"/>
    <mergeCell ref="B62:I62"/>
    <mergeCell ref="B64:I64"/>
    <mergeCell ref="B2:I2"/>
    <mergeCell ref="C5:C6"/>
    <mergeCell ref="B60:I60"/>
    <mergeCell ref="B66:I66"/>
    <mergeCell ref="B67:I67"/>
    <mergeCell ref="B63:I63"/>
    <mergeCell ref="B61:I61"/>
    <mergeCell ref="B5:B6"/>
    <mergeCell ref="B65:I65"/>
    <mergeCell ref="D5:D6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2026-04-14T03:50:53Z</dcterms:created>
  <dcterms:modified xmlns:dcterms="http://purl.org/dc/terms/" xmlns:xsi="http://www.w3.org/2001/XMLSchema-instance" xsi:type="dcterms:W3CDTF">2026-04-14T03:50:54Z</dcterms:modified>
</cp:coreProperties>
</file>